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4\"/>
    </mc:Choice>
  </mc:AlternateContent>
  <xr:revisionPtr revIDLastSave="0" documentId="13_ncr:1_{50F295B0-3A7A-4885-85FA-F5C9F9BBBE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t24acum_1any" sheetId="5" r:id="rId1"/>
    <sheet name="3t24acum_1any" sheetId="4" r:id="rId2"/>
    <sheet name="2t24acum_1any" sheetId="3" r:id="rId3"/>
    <sheet name="1t24acum_1any" sheetId="2" r:id="rId4"/>
  </sheets>
  <definedNames>
    <definedName name="_xlnm._FilterDatabase" localSheetId="3" hidden="1">'1t24acum_1any'!$A$20:$S$93</definedName>
    <definedName name="_xlnm._FilterDatabase" localSheetId="2" hidden="1">'2t24acum_1any'!$A$20:$S$93</definedName>
    <definedName name="_xlnm._FilterDatabase" localSheetId="1" hidden="1">'3t24acum_1any'!$A$20:$S$93</definedName>
    <definedName name="_xlnm._FilterDatabase" localSheetId="0" hidden="1">'4t24acum_1any'!$A$20:$S$93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5" l="1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18" i="5"/>
  <c r="F17" i="5"/>
  <c r="F16" i="5"/>
  <c r="F15" i="5"/>
  <c r="F14" i="5"/>
  <c r="F13" i="5"/>
  <c r="F12" i="5"/>
  <c r="F11" i="5"/>
  <c r="F10" i="5"/>
  <c r="F9" i="5"/>
  <c r="F6" i="5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18" i="4"/>
  <c r="F17" i="4"/>
  <c r="F16" i="4"/>
  <c r="F15" i="4"/>
  <c r="F14" i="4"/>
  <c r="F13" i="4"/>
  <c r="F12" i="4"/>
  <c r="F11" i="4"/>
  <c r="F10" i="4"/>
  <c r="F9" i="4"/>
  <c r="F93" i="3" l="1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18" i="3"/>
  <c r="F17" i="3"/>
  <c r="F16" i="3"/>
  <c r="F15" i="3"/>
  <c r="F14" i="3"/>
  <c r="F13" i="3"/>
  <c r="F12" i="3"/>
  <c r="F11" i="3"/>
  <c r="F10" i="3"/>
  <c r="F9" i="3"/>
  <c r="F6" i="3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18" i="2"/>
  <c r="F17" i="2"/>
  <c r="F16" i="2"/>
  <c r="F15" i="2"/>
  <c r="F14" i="2"/>
  <c r="F13" i="2"/>
  <c r="F12" i="2"/>
  <c r="F11" i="2"/>
  <c r="F10" i="2"/>
  <c r="F9" i="2"/>
  <c r="F6" i="2"/>
</calcChain>
</file>

<file path=xl/sharedStrings.xml><?xml version="1.0" encoding="utf-8"?>
<sst xmlns="http://schemas.openxmlformats.org/spreadsheetml/2006/main" count="436" uniqueCount="102">
  <si>
    <t>Compravendes d'habitatge registrades a Barcelona</t>
  </si>
  <si>
    <t>Nre. Compravendes</t>
  </si>
  <si>
    <t>Codi</t>
  </si>
  <si>
    <t>Habitatges nous lliures</t>
  </si>
  <si>
    <t>Hab. nous protegits</t>
  </si>
  <si>
    <t>Habitatge usat</t>
  </si>
  <si>
    <t>Total</t>
  </si>
  <si>
    <t>Habitatge nou</t>
  </si>
  <si>
    <t>Districtes municipals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</si>
  <si>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</si>
  <si>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</si>
  <si>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</si>
  <si>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</si>
  <si>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</si>
  <si>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</si>
  <si>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</si>
  <si>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</si>
  <si>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</si>
  <si>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>Sant Martí</t>
  </si>
  <si>
    <t>Barris</t>
  </si>
  <si>
    <t>el Raval</t>
  </si>
  <si>
    <t>el Barri Gòtic</t>
  </si>
  <si>
    <t>la Barceloneta</t>
  </si>
  <si>
    <t>Sant Pere, Santa Caterina i la Ribera</t>
  </si>
  <si>
    <t>el Fort Pienc</t>
  </si>
  <si>
    <t>la Sagrada Família</t>
  </si>
  <si>
    <t>la Dreta de l'Eixample</t>
  </si>
  <si>
    <t>l'Antiga Esquerra de l'Eixample</t>
  </si>
  <si>
    <t>la Nova Esquerra de l'Eixample</t>
  </si>
  <si>
    <t>Sant Antoni</t>
  </si>
  <si>
    <t>el Poble Sec - Parc Montjuïc</t>
  </si>
  <si>
    <t>la Marina del Prat Vermell - Zona Franca</t>
  </si>
  <si>
    <t>la Marina de Port</t>
  </si>
  <si>
    <t>la Font de la Guatlla</t>
  </si>
  <si>
    <t>Hostafrancs</t>
  </si>
  <si>
    <t>la Bordeta</t>
  </si>
  <si>
    <t>Sants - Badal</t>
  </si>
  <si>
    <t>Sants</t>
  </si>
  <si>
    <t>les Corts</t>
  </si>
  <si>
    <t>la Maternitat i Sant Ramon</t>
  </si>
  <si>
    <t>Pedralbes</t>
  </si>
  <si>
    <t>Vallvidrera, el Tibidabo i les Planes</t>
  </si>
  <si>
    <t>Sarrià</t>
  </si>
  <si>
    <t>les Tres Torres</t>
  </si>
  <si>
    <t>Sant Gervasi - la Bonanova</t>
  </si>
  <si>
    <t>Sant Gervasi - Galvany</t>
  </si>
  <si>
    <t>el Putxet i el Farró</t>
  </si>
  <si>
    <t>Vallcarca i els Penitents</t>
  </si>
  <si>
    <t>el Coll</t>
  </si>
  <si>
    <t>la Salut</t>
  </si>
  <si>
    <t>la Vila de Gràcia</t>
  </si>
  <si>
    <t>el Camp d'en Grassot i Gràcia Nova</t>
  </si>
  <si>
    <t>el Baix Guinardó</t>
  </si>
  <si>
    <t>Can Baró</t>
  </si>
  <si>
    <t>el Guinardó</t>
  </si>
  <si>
    <t>la Font d'en Fargues</t>
  </si>
  <si>
    <t>el Carmel</t>
  </si>
  <si>
    <t>la Teixonera</t>
  </si>
  <si>
    <t>Sant Genís dels Agudells</t>
  </si>
  <si>
    <t>Montbau</t>
  </si>
  <si>
    <t>la Vall d'Hebron</t>
  </si>
  <si>
    <t>la Clota</t>
  </si>
  <si>
    <t>Horta</t>
  </si>
  <si>
    <t>Vilapicina i la Torre Llobeta</t>
  </si>
  <si>
    <t>Porta</t>
  </si>
  <si>
    <t>el Turó de la Peira</t>
  </si>
  <si>
    <t>Can Peguera</t>
  </si>
  <si>
    <t>la Guineueta</t>
  </si>
  <si>
    <t>Canyelles</t>
  </si>
  <si>
    <t>les Roquetes</t>
  </si>
  <si>
    <t>Verdun</t>
  </si>
  <si>
    <t>la Prosperitat</t>
  </si>
  <si>
    <t>la Trinitat Nova</t>
  </si>
  <si>
    <t>Torre Baró</t>
  </si>
  <si>
    <t>Ciutat Meridiana</t>
  </si>
  <si>
    <t>Vallbona</t>
  </si>
  <si>
    <t>la Trinitat Vella</t>
  </si>
  <si>
    <t>Baró de Viver</t>
  </si>
  <si>
    <t>el Bon Pastor</t>
  </si>
  <si>
    <t>la Sagrera</t>
  </si>
  <si>
    <t>el Congrés i els Indians</t>
  </si>
  <si>
    <t>Navas</t>
  </si>
  <si>
    <t>el Camp de l'Arpa del Clot</t>
  </si>
  <si>
    <t>el Clot</t>
  </si>
  <si>
    <t>el Parc i la Llacuna del Poblenou</t>
  </si>
  <si>
    <t>la Vila Olímpica del Poblenou</t>
  </si>
  <si>
    <t>el Poblenou</t>
  </si>
  <si>
    <t>Diagonal Mar i el Front Marítim del Poblenou</t>
  </si>
  <si>
    <t>el Besòs i el Maresme</t>
  </si>
  <si>
    <t>Provençals del Poblenou</t>
  </si>
  <si>
    <t>Sant Martí de Provençals</t>
  </si>
  <si>
    <t>la Verneda i la Pau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</si>
  <si>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</si>
  <si>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</si>
  <si>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Barcelona*</t>
  </si>
  <si>
    <t>* Les dades del conjunt de la ciutat no corresponen a l'agregat dels barris o districtes ja que hi poden haver habitatges que no s'han pogut geolocalitzar.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</si>
  <si>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</si>
  <si>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NOTA: no es publica la informació de preus dels àmbits on hi ha menys de tres contractes registrats.</t>
  </si>
  <si>
    <r>
      <t>Període</t>
    </r>
    <r>
      <rPr>
        <b/>
        <sz val="10"/>
        <rFont val="Arial"/>
        <family val="2"/>
      </rPr>
      <t>: abril 2023 - març 2024</t>
    </r>
  </si>
  <si>
    <r>
      <t>Període</t>
    </r>
    <r>
      <rPr>
        <b/>
        <sz val="10"/>
        <rFont val="Arial"/>
        <family val="2"/>
      </rPr>
      <t>: juliol 2023 - juny 2024</t>
    </r>
  </si>
  <si>
    <r>
      <t>Període</t>
    </r>
    <r>
      <rPr>
        <b/>
        <sz val="10"/>
        <rFont val="Arial"/>
        <family val="2"/>
      </rPr>
      <t>: octubre 2023 - setembre 2024</t>
    </r>
  </si>
  <si>
    <r>
      <t>Període</t>
    </r>
    <r>
      <rPr>
        <b/>
        <sz val="10"/>
        <rFont val="Arial"/>
        <family val="2"/>
      </rPr>
      <t>: Any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</si>
</sst>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#,##0.0;;\-"/>
    <numFmt numFmtId="166" formatCode="#,##0.00;;\-"/>
  </numFmts>
  <fonts count="12" x14ac:knownFonts="1">
    <font>
      <sz val="10"/>
      <name val="Arial"/>
    </font>
    <font>
      <sz val="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sz val="8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2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3" fontId="5" fillId="0" borderId="0" xfId="0" applyNumberFormat="1" applyFont="1"/>
    <xf numFmtId="164" fontId="6" fillId="0" borderId="1" xfId="0" applyNumberFormat="1" applyFont="1" applyBorder="1" applyAlignment="1">
      <alignment horizontal="centerContinuous"/>
    </xf>
    <xf numFmtId="164" fontId="3" fillId="0" borderId="1" xfId="0" applyNumberFormat="1" applyFont="1" applyBorder="1" applyAlignment="1">
      <alignment horizontal="centerContinuous"/>
    </xf>
    <xf numFmtId="165" fontId="6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centerContinuous"/>
    </xf>
    <xf numFmtId="3" fontId="6" fillId="0" borderId="1" xfId="0" applyNumberFormat="1" applyFont="1" applyBorder="1" applyAlignment="1">
      <alignment wrapText="1"/>
    </xf>
    <xf numFmtId="164" fontId="6" fillId="0" borderId="1" xfId="0" applyNumberFormat="1" applyFont="1" applyBorder="1" applyAlignment="1">
      <alignment horizontal="right" wrapText="1"/>
    </xf>
    <xf numFmtId="3" fontId="3" fillId="0" borderId="1" xfId="0" applyNumberFormat="1" applyFont="1" applyBorder="1" applyAlignment="1">
      <alignment wrapText="1"/>
    </xf>
    <xf numFmtId="165" fontId="6" fillId="0" borderId="1" xfId="0" applyNumberFormat="1" applyFont="1" applyBorder="1" applyAlignment="1">
      <alignment horizontal="right" wrapText="1"/>
    </xf>
    <xf numFmtId="165" fontId="3" fillId="0" borderId="1" xfId="0" applyNumberFormat="1" applyFont="1" applyBorder="1" applyAlignment="1">
      <alignment wrapText="1"/>
    </xf>
    <xf numFmtId="3" fontId="3" fillId="0" borderId="0" xfId="0" applyNumberFormat="1" applyFont="1" applyAlignment="1">
      <alignment wrapText="1"/>
    </xf>
    <xf numFmtId="3" fontId="7" fillId="0" borderId="0" xfId="0" applyNumberFormat="1" applyFont="1" applyAlignment="1">
      <alignment wrapText="1"/>
    </xf>
    <xf numFmtId="3" fontId="6" fillId="0" borderId="0" xfId="0" applyNumberFormat="1" applyFont="1" applyBorder="1" applyAlignment="1">
      <alignment wrapText="1"/>
    </xf>
    <xf numFmtId="3" fontId="7" fillId="0" borderId="0" xfId="0" applyNumberFormat="1" applyFont="1" applyBorder="1" applyAlignment="1">
      <alignment wrapText="1"/>
    </xf>
    <xf numFmtId="3" fontId="9" fillId="0" borderId="0" xfId="0" applyNumberFormat="1" applyFont="1" applyBorder="1" applyAlignment="1">
      <alignment wrapText="1"/>
    </xf>
    <xf numFmtId="0" fontId="7" fillId="0" borderId="0" xfId="0" applyFont="1"/>
    <xf numFmtId="164" fontId="7" fillId="0" borderId="0" xfId="0" applyNumberFormat="1" applyFont="1"/>
    <xf numFmtId="164" fontId="7" fillId="0" borderId="0" xfId="0" applyNumberFormat="1" applyFont="1" applyBorder="1"/>
    <xf numFmtId="3" fontId="7" fillId="0" borderId="0" xfId="0" applyNumberFormat="1" applyFont="1"/>
    <xf numFmtId="3" fontId="7" fillId="0" borderId="1" xfId="0" applyNumberFormat="1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3" fontId="10" fillId="0" borderId="0" xfId="0" applyNumberFormat="1" applyFont="1" applyBorder="1"/>
    <xf numFmtId="166" fontId="3" fillId="0" borderId="0" xfId="0" applyNumberFormat="1" applyFont="1"/>
    <xf numFmtId="164" fontId="3" fillId="0" borderId="1" xfId="0" applyNumberFormat="1" applyFont="1" applyBorder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horizontal="right" wrapText="1"/>
    </xf>
    <xf numFmtId="166" fontId="3" fillId="0" borderId="1" xfId="0" applyNumberFormat="1" applyFont="1" applyBorder="1"/>
    <xf numFmtId="3" fontId="6" fillId="0" borderId="0" xfId="0" applyNumberFormat="1" applyFont="1" applyAlignment="1">
      <alignment wrapText="1"/>
    </xf>
    <xf numFmtId="3" fontId="9" fillId="0" borderId="0" xfId="0" applyNumberFormat="1" applyFont="1" applyAlignment="1">
      <alignment wrapText="1"/>
    </xf>
    <xf numFmtId="0" fontId="3" fillId="0" borderId="0" xfId="0" applyFont="1"/>
    <xf numFmtId="3" fontId="1" fillId="0" borderId="0" xfId="0" applyNumberFormat="1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72A7-6AC4-4BE6-8C14-3DD596ECF21E}">
  <dimension ref="A1:S95"/>
  <sheetViews>
    <sheetView tabSelected="1" workbookViewId="0"/>
  </sheetViews>
  <sheetFormatPr defaultColWidth="11.42578125" defaultRowHeight="12" x14ac:dyDescent="0.2"/>
  <cols>
    <col min="1" max="1" width="4.85546875" style="2" customWidth="1"/>
    <col min="2" max="2" width="35.7109375" style="2" customWidth="1"/>
    <col min="3" max="6" width="10.7109375" style="3" customWidth="1"/>
    <col min="7" max="7" width="2.7109375" style="2" customWidth="1"/>
    <col min="8" max="11" width="10.7109375" style="4" customWidth="1"/>
    <col min="12" max="12" width="2.7109375" style="4" customWidth="1"/>
    <col min="13" max="15" width="10.7109375" style="4" customWidth="1"/>
    <col min="16" max="16" width="2.7109375" style="4" customWidth="1"/>
    <col min="17" max="19" width="10.7109375" style="4" customWidth="1"/>
    <col min="20" max="16384" width="11.42578125" style="2"/>
  </cols>
  <sheetData>
    <row r="1" spans="1:19" ht="15" x14ac:dyDescent="0.25">
      <c r="A1" s="1" t="s">
        <v>0</v>
      </c>
    </row>
    <row r="2" spans="1:19" ht="12.75" x14ac:dyDescent="0.2">
      <c r="A2" s="5" t="s">
        <v>101</v>
      </c>
    </row>
    <row r="3" spans="1:19" x14ac:dyDescent="0.2">
      <c r="A3" s="2" t="s">
        <v>97</v>
      </c>
    </row>
    <row r="4" spans="1:19" ht="13.5" x14ac:dyDescent="0.2">
      <c r="C4" s="6" t="s">
        <v>1</v>
      </c>
      <c r="D4" s="7"/>
      <c r="E4" s="7"/>
      <c r="F4" s="7"/>
      <c r="H4" s="8" t="s">
        <v>96</v>
      </c>
      <c r="I4" s="9"/>
      <c r="J4" s="9"/>
      <c r="K4" s="9"/>
      <c r="M4" s="8" t="s">
        <v>92</v>
      </c>
      <c r="N4" s="8"/>
      <c r="O4" s="8"/>
      <c r="Q4" s="8" t="s">
        <v>93</v>
      </c>
      <c r="R4" s="8"/>
      <c r="S4" s="8"/>
    </row>
    <row r="5" spans="1:19" s="15" customFormat="1" ht="24" x14ac:dyDescent="0.2">
      <c r="A5" s="10" t="s">
        <v>2</v>
      </c>
      <c r="B5" s="10"/>
      <c r="C5" s="11" t="s">
        <v>3</v>
      </c>
      <c r="D5" s="11" t="s">
        <v>4</v>
      </c>
      <c r="E5" s="11" t="s">
        <v>5</v>
      </c>
      <c r="F5" s="11" t="s">
        <v>6</v>
      </c>
      <c r="G5" s="12"/>
      <c r="H5" s="13" t="s">
        <v>3</v>
      </c>
      <c r="I5" s="13" t="s">
        <v>4</v>
      </c>
      <c r="J5" s="13" t="s">
        <v>5</v>
      </c>
      <c r="K5" s="13" t="s">
        <v>6</v>
      </c>
      <c r="L5" s="14"/>
      <c r="M5" s="13" t="s">
        <v>7</v>
      </c>
      <c r="N5" s="13" t="s">
        <v>5</v>
      </c>
      <c r="O5" s="13" t="s">
        <v>6</v>
      </c>
      <c r="P5" s="14"/>
      <c r="Q5" s="13" t="s">
        <v>7</v>
      </c>
      <c r="R5" s="13" t="s">
        <v>5</v>
      </c>
      <c r="S5" s="13" t="s">
        <v>6</v>
      </c>
    </row>
    <row r="6" spans="1:19" s="15" customFormat="1" x14ac:dyDescent="0.2">
      <c r="B6" s="36" t="s">
        <v>94</v>
      </c>
      <c r="C6" s="3">
        <v>1674</v>
      </c>
      <c r="D6" s="3">
        <v>157</v>
      </c>
      <c r="E6" s="3">
        <v>13969</v>
      </c>
      <c r="F6" s="3">
        <f t="shared" ref="F6" si="0">SUM(C6:E6)</f>
        <v>15800</v>
      </c>
      <c r="G6" s="2"/>
      <c r="H6" s="4">
        <v>81.739999999999995</v>
      </c>
      <c r="I6" s="4">
        <v>64.08</v>
      </c>
      <c r="J6" s="4">
        <v>79.489999999999995</v>
      </c>
      <c r="K6" s="4">
        <v>79.58</v>
      </c>
      <c r="L6" s="2"/>
      <c r="M6" s="4">
        <v>424.00184999999999</v>
      </c>
      <c r="N6" s="4">
        <v>370.61221</v>
      </c>
      <c r="O6" s="4">
        <v>377.15745000000004</v>
      </c>
      <c r="P6" s="2"/>
      <c r="Q6" s="29">
        <v>5039.17</v>
      </c>
      <c r="R6" s="29">
        <v>4403.8900000000003</v>
      </c>
      <c r="S6" s="29">
        <v>4481.7700000000004</v>
      </c>
    </row>
    <row r="7" spans="1:19" s="15" customFormat="1" x14ac:dyDescent="0.2">
      <c r="C7" s="31"/>
      <c r="D7" s="31"/>
      <c r="E7" s="31"/>
      <c r="F7" s="31"/>
      <c r="H7" s="32"/>
      <c r="I7" s="32"/>
      <c r="J7" s="32"/>
      <c r="K7" s="32"/>
      <c r="L7" s="33"/>
      <c r="M7" s="32"/>
      <c r="N7" s="32"/>
      <c r="O7" s="32"/>
      <c r="P7" s="33"/>
      <c r="Q7" s="34"/>
      <c r="R7" s="34"/>
      <c r="S7" s="34"/>
    </row>
    <row r="8" spans="1:19" s="15" customFormat="1" x14ac:dyDescent="0.2">
      <c r="B8" s="37" t="s">
        <v>8</v>
      </c>
      <c r="C8" s="31"/>
      <c r="D8" s="31"/>
      <c r="E8" s="31"/>
      <c r="F8" s="31"/>
      <c r="H8" s="32"/>
      <c r="I8" s="32"/>
      <c r="J8" s="32"/>
      <c r="K8" s="32"/>
      <c r="L8" s="33"/>
      <c r="M8" s="32"/>
      <c r="N8" s="32"/>
      <c r="O8" s="32"/>
      <c r="P8" s="33"/>
      <c r="Q8" s="34"/>
      <c r="R8" s="34"/>
      <c r="S8" s="34"/>
    </row>
    <row r="9" spans="1:19" s="15" customFormat="1" x14ac:dyDescent="0.2">
      <c r="A9" s="38">
        <v>1</v>
      </c>
      <c r="B9" s="15" t="s">
        <v>9</v>
      </c>
      <c r="C9" s="31">
        <v>119</v>
      </c>
      <c r="D9" s="31">
        <v>0</v>
      </c>
      <c r="E9" s="31">
        <v>1349</v>
      </c>
      <c r="F9" s="31">
        <f t="shared" ref="F9:F18" si="1">SUM(C9:E9)</f>
        <v>1468</v>
      </c>
      <c r="H9" s="32">
        <v>76.459999999999994</v>
      </c>
      <c r="I9" s="32">
        <v>0</v>
      </c>
      <c r="J9" s="32">
        <v>65.89</v>
      </c>
      <c r="K9" s="32">
        <v>66.8</v>
      </c>
      <c r="L9" s="33"/>
      <c r="M9" s="32">
        <v>384.47665000000001</v>
      </c>
      <c r="N9" s="32">
        <v>273.7894</v>
      </c>
      <c r="O9" s="32">
        <v>283.55324000000002</v>
      </c>
      <c r="P9" s="33"/>
      <c r="Q9" s="34">
        <v>5146.07</v>
      </c>
      <c r="R9" s="34">
        <v>4137.72</v>
      </c>
      <c r="S9" s="34">
        <v>4226.67</v>
      </c>
    </row>
    <row r="10" spans="1:19" s="15" customFormat="1" x14ac:dyDescent="0.2">
      <c r="A10" s="38">
        <v>2</v>
      </c>
      <c r="B10" s="15" t="s">
        <v>10</v>
      </c>
      <c r="C10" s="31">
        <v>341</v>
      </c>
      <c r="D10" s="31">
        <v>18</v>
      </c>
      <c r="E10" s="31">
        <v>2320</v>
      </c>
      <c r="F10" s="31">
        <f t="shared" si="1"/>
        <v>2679</v>
      </c>
      <c r="H10" s="32">
        <v>95.1</v>
      </c>
      <c r="I10" s="32">
        <v>80.23</v>
      </c>
      <c r="J10" s="32">
        <v>92.1</v>
      </c>
      <c r="K10" s="32">
        <v>92.41</v>
      </c>
      <c r="L10" s="33"/>
      <c r="M10" s="32">
        <v>584.26403000000005</v>
      </c>
      <c r="N10" s="32">
        <v>495.95665000000002</v>
      </c>
      <c r="O10" s="32">
        <v>507.51089000000002</v>
      </c>
      <c r="P10" s="33"/>
      <c r="Q10" s="34">
        <v>5858.39</v>
      </c>
      <c r="R10" s="34">
        <v>5343.01</v>
      </c>
      <c r="S10" s="34">
        <v>5410.44</v>
      </c>
    </row>
    <row r="11" spans="1:19" s="15" customFormat="1" x14ac:dyDescent="0.2">
      <c r="A11" s="38">
        <v>3</v>
      </c>
      <c r="B11" s="15" t="s">
        <v>11</v>
      </c>
      <c r="C11" s="31">
        <v>267</v>
      </c>
      <c r="D11" s="31">
        <v>57</v>
      </c>
      <c r="E11" s="31">
        <v>1698</v>
      </c>
      <c r="F11" s="31">
        <f t="shared" si="1"/>
        <v>2022</v>
      </c>
      <c r="H11" s="32">
        <v>69.67</v>
      </c>
      <c r="I11" s="32">
        <v>57.67</v>
      </c>
      <c r="J11" s="32">
        <v>68.45</v>
      </c>
      <c r="K11" s="32">
        <v>68.260000000000005</v>
      </c>
      <c r="L11" s="33"/>
      <c r="M11" s="32">
        <v>349.31497999999999</v>
      </c>
      <c r="N11" s="32">
        <v>266.38537000000002</v>
      </c>
      <c r="O11" s="32">
        <v>280.26339000000002</v>
      </c>
      <c r="P11" s="33"/>
      <c r="Q11" s="34">
        <v>5114.5200000000004</v>
      </c>
      <c r="R11" s="34">
        <v>3986.54</v>
      </c>
      <c r="S11" s="34">
        <v>4175.3</v>
      </c>
    </row>
    <row r="12" spans="1:19" s="15" customFormat="1" x14ac:dyDescent="0.2">
      <c r="A12" s="38">
        <v>4</v>
      </c>
      <c r="B12" s="15" t="s">
        <v>12</v>
      </c>
      <c r="C12" s="31">
        <v>23</v>
      </c>
      <c r="D12" s="31">
        <v>1</v>
      </c>
      <c r="E12" s="31">
        <v>607</v>
      </c>
      <c r="F12" s="31">
        <f t="shared" si="1"/>
        <v>631</v>
      </c>
      <c r="H12" s="32">
        <v>89.29</v>
      </c>
      <c r="I12" s="32">
        <v>0</v>
      </c>
      <c r="J12" s="32">
        <v>95.02</v>
      </c>
      <c r="K12" s="32">
        <v>94.8</v>
      </c>
      <c r="L12" s="33"/>
      <c r="M12" s="32">
        <v>562.38094999999998</v>
      </c>
      <c r="N12" s="32">
        <v>545.68124999999998</v>
      </c>
      <c r="O12" s="32">
        <v>546.41034000000002</v>
      </c>
      <c r="P12" s="33"/>
      <c r="Q12" s="34">
        <v>6326.55</v>
      </c>
      <c r="R12" s="34">
        <v>5363.23</v>
      </c>
      <c r="S12" s="34">
        <v>5405.28</v>
      </c>
    </row>
    <row r="13" spans="1:19" s="15" customFormat="1" x14ac:dyDescent="0.2">
      <c r="A13" s="38">
        <v>5</v>
      </c>
      <c r="B13" s="15" t="s">
        <v>13</v>
      </c>
      <c r="C13" s="31">
        <v>105</v>
      </c>
      <c r="D13" s="31">
        <v>0</v>
      </c>
      <c r="E13" s="31">
        <v>1119</v>
      </c>
      <c r="F13" s="31">
        <f t="shared" si="1"/>
        <v>1224</v>
      </c>
      <c r="H13" s="32">
        <v>116.86</v>
      </c>
      <c r="I13" s="32">
        <v>0</v>
      </c>
      <c r="J13" s="32">
        <v>127.02</v>
      </c>
      <c r="K13" s="32">
        <v>126.21</v>
      </c>
      <c r="L13" s="33"/>
      <c r="M13" s="32">
        <v>790.69894999999997</v>
      </c>
      <c r="N13" s="32">
        <v>761.53843999999992</v>
      </c>
      <c r="O13" s="32">
        <v>763.94770999999992</v>
      </c>
      <c r="P13" s="33"/>
      <c r="Q13" s="34">
        <v>6658.72</v>
      </c>
      <c r="R13" s="34">
        <v>6048.61</v>
      </c>
      <c r="S13" s="34">
        <v>6099.02</v>
      </c>
    </row>
    <row r="14" spans="1:19" s="15" customFormat="1" x14ac:dyDescent="0.2">
      <c r="A14" s="38">
        <v>6</v>
      </c>
      <c r="B14" s="15" t="s">
        <v>14</v>
      </c>
      <c r="C14" s="31">
        <v>105</v>
      </c>
      <c r="D14" s="31">
        <v>2</v>
      </c>
      <c r="E14" s="31">
        <v>1003</v>
      </c>
      <c r="F14" s="31">
        <f t="shared" si="1"/>
        <v>1110</v>
      </c>
      <c r="H14" s="32">
        <v>102.62</v>
      </c>
      <c r="I14" s="32">
        <v>80</v>
      </c>
      <c r="J14" s="32">
        <v>79.72</v>
      </c>
      <c r="K14" s="32">
        <v>81.89</v>
      </c>
      <c r="L14" s="33"/>
      <c r="M14" s="32">
        <v>468.60590000000002</v>
      </c>
      <c r="N14" s="32">
        <v>378.40796</v>
      </c>
      <c r="O14" s="32">
        <v>387.07729999999998</v>
      </c>
      <c r="P14" s="33"/>
      <c r="Q14" s="34">
        <v>4773.6099999999997</v>
      </c>
      <c r="R14" s="34">
        <v>4824.97</v>
      </c>
      <c r="S14" s="34">
        <v>4820.04</v>
      </c>
    </row>
    <row r="15" spans="1:19" s="15" customFormat="1" x14ac:dyDescent="0.2">
      <c r="A15" s="38">
        <v>7</v>
      </c>
      <c r="B15" s="15" t="s">
        <v>15</v>
      </c>
      <c r="C15" s="31">
        <v>428</v>
      </c>
      <c r="D15" s="31">
        <v>30</v>
      </c>
      <c r="E15" s="31">
        <v>1206</v>
      </c>
      <c r="F15" s="31">
        <f t="shared" si="1"/>
        <v>1664</v>
      </c>
      <c r="H15" s="32">
        <v>74.23</v>
      </c>
      <c r="I15" s="32">
        <v>70.040000000000006</v>
      </c>
      <c r="J15" s="32">
        <v>68.150000000000006</v>
      </c>
      <c r="K15" s="32">
        <v>69.81</v>
      </c>
      <c r="L15" s="33"/>
      <c r="M15" s="32">
        <v>295.42613</v>
      </c>
      <c r="N15" s="32">
        <v>237.60624999999999</v>
      </c>
      <c r="O15" s="32">
        <v>253.83712</v>
      </c>
      <c r="P15" s="33"/>
      <c r="Q15" s="34">
        <v>3895.89</v>
      </c>
      <c r="R15" s="34">
        <v>3532.28</v>
      </c>
      <c r="S15" s="34">
        <v>3634.35</v>
      </c>
    </row>
    <row r="16" spans="1:19" s="15" customFormat="1" x14ac:dyDescent="0.2">
      <c r="A16" s="38">
        <v>8</v>
      </c>
      <c r="B16" s="15" t="s">
        <v>16</v>
      </c>
      <c r="C16" s="31">
        <v>17</v>
      </c>
      <c r="D16" s="31">
        <v>0</v>
      </c>
      <c r="E16" s="31">
        <v>1514</v>
      </c>
      <c r="F16" s="31">
        <f t="shared" si="1"/>
        <v>1531</v>
      </c>
      <c r="H16" s="32">
        <v>71</v>
      </c>
      <c r="I16" s="32">
        <v>0</v>
      </c>
      <c r="J16" s="32">
        <v>63.61</v>
      </c>
      <c r="K16" s="32">
        <v>63.68</v>
      </c>
      <c r="L16" s="33"/>
      <c r="M16" s="32">
        <v>231.50742000000002</v>
      </c>
      <c r="N16" s="32">
        <v>177.92778000000001</v>
      </c>
      <c r="O16" s="32">
        <v>178.64939000000001</v>
      </c>
      <c r="P16" s="33"/>
      <c r="Q16" s="34">
        <v>3589.7</v>
      </c>
      <c r="R16" s="34">
        <v>2805.24</v>
      </c>
      <c r="S16" s="34">
        <v>2815.8</v>
      </c>
    </row>
    <row r="17" spans="1:19" s="15" customFormat="1" x14ac:dyDescent="0.2">
      <c r="A17" s="38">
        <v>9</v>
      </c>
      <c r="B17" s="15" t="s">
        <v>17</v>
      </c>
      <c r="C17" s="31">
        <v>50</v>
      </c>
      <c r="D17" s="31">
        <v>7</v>
      </c>
      <c r="E17" s="31">
        <v>1170</v>
      </c>
      <c r="F17" s="31">
        <f t="shared" si="1"/>
        <v>1227</v>
      </c>
      <c r="H17" s="32">
        <v>83.13</v>
      </c>
      <c r="I17" s="32">
        <v>78</v>
      </c>
      <c r="J17" s="32">
        <v>71.56</v>
      </c>
      <c r="K17" s="32">
        <v>72.069999999999993</v>
      </c>
      <c r="L17" s="33"/>
      <c r="M17" s="32">
        <v>318.70515</v>
      </c>
      <c r="N17" s="32">
        <v>247.10804000000002</v>
      </c>
      <c r="O17" s="32">
        <v>250.98932000000002</v>
      </c>
      <c r="P17" s="33"/>
      <c r="Q17" s="34">
        <v>3863.95</v>
      </c>
      <c r="R17" s="34">
        <v>3416.91</v>
      </c>
      <c r="S17" s="34">
        <v>3441.14</v>
      </c>
    </row>
    <row r="18" spans="1:19" s="15" customFormat="1" x14ac:dyDescent="0.2">
      <c r="A18" s="38">
        <v>10</v>
      </c>
      <c r="B18" s="15" t="s">
        <v>18</v>
      </c>
      <c r="C18" s="31">
        <v>204</v>
      </c>
      <c r="D18" s="31">
        <v>42</v>
      </c>
      <c r="E18" s="31">
        <v>1889</v>
      </c>
      <c r="F18" s="31">
        <f t="shared" si="1"/>
        <v>2135</v>
      </c>
      <c r="H18" s="32">
        <v>68.92</v>
      </c>
      <c r="I18" s="32">
        <v>61.2</v>
      </c>
      <c r="J18" s="32">
        <v>74.33</v>
      </c>
      <c r="K18" s="32">
        <v>73.540000000000006</v>
      </c>
      <c r="L18" s="33"/>
      <c r="M18" s="32">
        <v>395.29133000000002</v>
      </c>
      <c r="N18" s="32">
        <v>323.90426000000002</v>
      </c>
      <c r="O18" s="32">
        <v>332.41015000000004</v>
      </c>
      <c r="P18" s="33"/>
      <c r="Q18" s="34">
        <v>5582.65</v>
      </c>
      <c r="R18" s="34">
        <v>4194.93</v>
      </c>
      <c r="S18" s="34">
        <v>4360.28</v>
      </c>
    </row>
    <row r="19" spans="1:19" s="15" customFormat="1" x14ac:dyDescent="0.2">
      <c r="A19" s="38"/>
      <c r="C19" s="31"/>
      <c r="D19" s="31"/>
      <c r="E19" s="31"/>
      <c r="F19" s="31"/>
      <c r="H19" s="32"/>
      <c r="I19" s="32"/>
      <c r="J19" s="32"/>
      <c r="K19" s="32"/>
      <c r="L19" s="33"/>
      <c r="M19" s="32"/>
      <c r="N19" s="32"/>
      <c r="O19" s="32"/>
      <c r="P19" s="33"/>
      <c r="Q19" s="34"/>
      <c r="R19" s="34"/>
      <c r="S19" s="34"/>
    </row>
    <row r="20" spans="1:19" s="15" customFormat="1" x14ac:dyDescent="0.2">
      <c r="A20" s="38"/>
      <c r="B20" s="37" t="s">
        <v>19</v>
      </c>
      <c r="C20" s="31"/>
      <c r="D20" s="31"/>
      <c r="E20" s="31"/>
      <c r="F20" s="31"/>
      <c r="H20" s="32"/>
      <c r="I20" s="32"/>
      <c r="J20" s="32"/>
      <c r="K20" s="32"/>
      <c r="L20" s="33"/>
      <c r="M20" s="32"/>
      <c r="N20" s="32"/>
      <c r="O20" s="32"/>
      <c r="P20" s="33"/>
      <c r="Q20" s="34"/>
      <c r="R20" s="34"/>
      <c r="S20" s="34"/>
    </row>
    <row r="21" spans="1:19" x14ac:dyDescent="0.2">
      <c r="A21" s="38">
        <v>1</v>
      </c>
      <c r="B21" s="3" t="s">
        <v>20</v>
      </c>
      <c r="C21" s="3">
        <v>22</v>
      </c>
      <c r="D21" s="3">
        <v>0</v>
      </c>
      <c r="E21" s="3">
        <v>637</v>
      </c>
      <c r="F21" s="31">
        <f t="shared" ref="F21:F84" si="2">SUM(C21:E21)</f>
        <v>659</v>
      </c>
      <c r="H21" s="4">
        <v>72.56</v>
      </c>
      <c r="I21" s="4">
        <v>0</v>
      </c>
      <c r="J21" s="4">
        <v>60.6</v>
      </c>
      <c r="K21" s="4">
        <v>61.03</v>
      </c>
      <c r="M21" s="4">
        <v>374.04721999999998</v>
      </c>
      <c r="N21" s="4">
        <v>187.82792000000001</v>
      </c>
      <c r="O21" s="4">
        <v>194.81114000000002</v>
      </c>
      <c r="Q21" s="29">
        <v>5626.46</v>
      </c>
      <c r="R21" s="29">
        <v>3157.57</v>
      </c>
      <c r="S21" s="29">
        <v>3250.15</v>
      </c>
    </row>
    <row r="22" spans="1:19" x14ac:dyDescent="0.2">
      <c r="A22" s="38">
        <v>2</v>
      </c>
      <c r="B22" s="3" t="s">
        <v>21</v>
      </c>
      <c r="C22" s="3">
        <v>48</v>
      </c>
      <c r="D22" s="3">
        <v>0</v>
      </c>
      <c r="E22" s="3">
        <v>229</v>
      </c>
      <c r="F22" s="31">
        <f t="shared" si="2"/>
        <v>277</v>
      </c>
      <c r="H22" s="4">
        <v>92.67</v>
      </c>
      <c r="I22" s="4">
        <v>0</v>
      </c>
      <c r="J22" s="4">
        <v>94.29</v>
      </c>
      <c r="K22" s="4">
        <v>94.02</v>
      </c>
      <c r="M22" s="4">
        <v>475.6481</v>
      </c>
      <c r="N22" s="4">
        <v>464.13491999999997</v>
      </c>
      <c r="O22" s="4">
        <v>466.09262999999999</v>
      </c>
      <c r="Q22" s="29">
        <v>5083</v>
      </c>
      <c r="R22" s="29">
        <v>4667.4799999999996</v>
      </c>
      <c r="S22" s="29">
        <v>4738.1400000000003</v>
      </c>
    </row>
    <row r="23" spans="1:19" x14ac:dyDescent="0.2">
      <c r="A23" s="38">
        <v>3</v>
      </c>
      <c r="B23" s="3" t="s">
        <v>22</v>
      </c>
      <c r="C23" s="3">
        <v>22</v>
      </c>
      <c r="D23" s="3">
        <v>0</v>
      </c>
      <c r="E23" s="3">
        <v>180</v>
      </c>
      <c r="F23" s="31">
        <f t="shared" si="2"/>
        <v>202</v>
      </c>
      <c r="H23" s="4">
        <v>37.450000000000003</v>
      </c>
      <c r="I23" s="4">
        <v>0</v>
      </c>
      <c r="J23" s="4">
        <v>43.9</v>
      </c>
      <c r="K23" s="4">
        <v>43.22</v>
      </c>
      <c r="M23" s="4">
        <v>196.75</v>
      </c>
      <c r="N23" s="4">
        <v>237.55814000000001</v>
      </c>
      <c r="O23" s="4">
        <v>233.23982000000001</v>
      </c>
      <c r="Q23" s="29">
        <v>5377.25</v>
      </c>
      <c r="R23" s="29">
        <v>5519.09</v>
      </c>
      <c r="S23" s="29">
        <v>5504.08</v>
      </c>
    </row>
    <row r="24" spans="1:19" x14ac:dyDescent="0.2">
      <c r="A24" s="38">
        <v>4</v>
      </c>
      <c r="B24" s="3" t="s">
        <v>23</v>
      </c>
      <c r="C24" s="3">
        <v>27</v>
      </c>
      <c r="D24" s="3">
        <v>0</v>
      </c>
      <c r="E24" s="3">
        <v>303</v>
      </c>
      <c r="F24" s="31">
        <f t="shared" si="2"/>
        <v>330</v>
      </c>
      <c r="H24" s="4">
        <v>82.74</v>
      </c>
      <c r="I24" s="4">
        <v>0</v>
      </c>
      <c r="J24" s="4">
        <v>67.430000000000007</v>
      </c>
      <c r="K24" s="4">
        <v>68.819999999999993</v>
      </c>
      <c r="M24" s="4">
        <v>388.66410999999999</v>
      </c>
      <c r="N24" s="4">
        <v>299.03555</v>
      </c>
      <c r="O24" s="4">
        <v>307.18359999999996</v>
      </c>
      <c r="Q24" s="29">
        <v>4752.67</v>
      </c>
      <c r="R24" s="29">
        <v>4548</v>
      </c>
      <c r="S24" s="29">
        <v>4566.6099999999997</v>
      </c>
    </row>
    <row r="25" spans="1:19" x14ac:dyDescent="0.2">
      <c r="A25" s="38">
        <v>5</v>
      </c>
      <c r="B25" s="3" t="s">
        <v>24</v>
      </c>
      <c r="C25" s="3">
        <v>8</v>
      </c>
      <c r="D25" s="3">
        <v>0</v>
      </c>
      <c r="E25" s="3">
        <v>232</v>
      </c>
      <c r="F25" s="31">
        <f t="shared" si="2"/>
        <v>240</v>
      </c>
      <c r="H25" s="4">
        <v>74</v>
      </c>
      <c r="I25" s="4">
        <v>0</v>
      </c>
      <c r="J25" s="4">
        <v>86.44</v>
      </c>
      <c r="K25" s="4">
        <v>85.99</v>
      </c>
      <c r="M25" s="4">
        <v>342.98946000000001</v>
      </c>
      <c r="N25" s="4">
        <v>395.97755999999998</v>
      </c>
      <c r="O25" s="4">
        <v>394.00590999999997</v>
      </c>
      <c r="Q25" s="29">
        <v>4605.6099999999997</v>
      </c>
      <c r="R25" s="29">
        <v>4691.42</v>
      </c>
      <c r="S25" s="29">
        <v>4688.2299999999996</v>
      </c>
    </row>
    <row r="26" spans="1:19" x14ac:dyDescent="0.2">
      <c r="A26" s="38">
        <v>6</v>
      </c>
      <c r="B26" s="3" t="s">
        <v>25</v>
      </c>
      <c r="C26" s="3">
        <v>34</v>
      </c>
      <c r="D26" s="3">
        <v>0</v>
      </c>
      <c r="E26" s="3">
        <v>466</v>
      </c>
      <c r="F26" s="31">
        <f t="shared" si="2"/>
        <v>500</v>
      </c>
      <c r="H26" s="4">
        <v>88.2</v>
      </c>
      <c r="I26" s="4">
        <v>0</v>
      </c>
      <c r="J26" s="4">
        <v>74.05</v>
      </c>
      <c r="K26" s="4">
        <v>75.02</v>
      </c>
      <c r="M26" s="4">
        <v>528.38599999999997</v>
      </c>
      <c r="N26" s="4">
        <v>342.55975000000001</v>
      </c>
      <c r="O26" s="4">
        <v>356.01913000000002</v>
      </c>
      <c r="Q26" s="29">
        <v>6149.28</v>
      </c>
      <c r="R26" s="29">
        <v>4772.03</v>
      </c>
      <c r="S26" s="29">
        <v>4871.78</v>
      </c>
    </row>
    <row r="27" spans="1:19" x14ac:dyDescent="0.2">
      <c r="A27" s="38">
        <v>7</v>
      </c>
      <c r="B27" s="3" t="s">
        <v>26</v>
      </c>
      <c r="C27" s="3">
        <v>97</v>
      </c>
      <c r="D27" s="3">
        <v>0</v>
      </c>
      <c r="E27" s="3">
        <v>533</v>
      </c>
      <c r="F27" s="31">
        <f t="shared" si="2"/>
        <v>630</v>
      </c>
      <c r="H27" s="4">
        <v>130.78</v>
      </c>
      <c r="I27" s="4">
        <v>0</v>
      </c>
      <c r="J27" s="4">
        <v>118.36</v>
      </c>
      <c r="K27" s="4">
        <v>120.11</v>
      </c>
      <c r="M27" s="4">
        <v>1008.80599</v>
      </c>
      <c r="N27" s="4">
        <v>755.55287999999996</v>
      </c>
      <c r="O27" s="4">
        <v>791.66402000000005</v>
      </c>
      <c r="Q27" s="29">
        <v>7656.48</v>
      </c>
      <c r="R27" s="29">
        <v>6396.12</v>
      </c>
      <c r="S27" s="29">
        <v>6575.83</v>
      </c>
    </row>
    <row r="28" spans="1:19" x14ac:dyDescent="0.2">
      <c r="A28" s="38">
        <v>8</v>
      </c>
      <c r="B28" s="3" t="s">
        <v>27</v>
      </c>
      <c r="C28" s="3">
        <v>22</v>
      </c>
      <c r="D28" s="3">
        <v>1</v>
      </c>
      <c r="E28" s="3">
        <v>409</v>
      </c>
      <c r="F28" s="31">
        <f t="shared" si="2"/>
        <v>432</v>
      </c>
      <c r="H28" s="4">
        <v>104</v>
      </c>
      <c r="I28" s="4">
        <v>52</v>
      </c>
      <c r="J28" s="4">
        <v>97.54</v>
      </c>
      <c r="K28" s="4">
        <v>97.74</v>
      </c>
      <c r="M28" s="4">
        <v>804.36857999999995</v>
      </c>
      <c r="N28" s="4">
        <v>540.54575999999997</v>
      </c>
      <c r="O28" s="4">
        <v>553.98446000000001</v>
      </c>
      <c r="Q28" s="29">
        <v>7430.44</v>
      </c>
      <c r="R28" s="29">
        <v>5689.85</v>
      </c>
      <c r="S28" s="29">
        <v>5778.51</v>
      </c>
    </row>
    <row r="29" spans="1:19" x14ac:dyDescent="0.2">
      <c r="A29" s="38">
        <v>9</v>
      </c>
      <c r="B29" s="3" t="s">
        <v>28</v>
      </c>
      <c r="C29" s="3">
        <v>150</v>
      </c>
      <c r="D29" s="3">
        <v>12</v>
      </c>
      <c r="E29" s="3">
        <v>349</v>
      </c>
      <c r="F29" s="31">
        <f t="shared" si="2"/>
        <v>511</v>
      </c>
      <c r="H29" s="4">
        <v>77.33</v>
      </c>
      <c r="I29" s="4">
        <v>79.44</v>
      </c>
      <c r="J29" s="4">
        <v>82.32</v>
      </c>
      <c r="K29" s="4">
        <v>80.77</v>
      </c>
      <c r="M29" s="4">
        <v>371.73869000000002</v>
      </c>
      <c r="N29" s="4">
        <v>409.62804</v>
      </c>
      <c r="O29" s="4">
        <v>397.02936</v>
      </c>
      <c r="Q29" s="29">
        <v>4867.26</v>
      </c>
      <c r="R29" s="29">
        <v>4982.93</v>
      </c>
      <c r="S29" s="29">
        <v>4944.47</v>
      </c>
    </row>
    <row r="30" spans="1:19" x14ac:dyDescent="0.2">
      <c r="A30" s="38">
        <v>10</v>
      </c>
      <c r="B30" s="3" t="s">
        <v>29</v>
      </c>
      <c r="C30" s="3">
        <v>30</v>
      </c>
      <c r="D30" s="3">
        <v>5</v>
      </c>
      <c r="E30" s="3">
        <v>331</v>
      </c>
      <c r="F30" s="31">
        <f t="shared" si="2"/>
        <v>366</v>
      </c>
      <c r="H30" s="4">
        <v>91.56</v>
      </c>
      <c r="I30" s="4">
        <v>92</v>
      </c>
      <c r="J30" s="4">
        <v>82.88</v>
      </c>
      <c r="K30" s="4">
        <v>83.69</v>
      </c>
      <c r="M30" s="4">
        <v>420.51047999999997</v>
      </c>
      <c r="N30" s="4">
        <v>385.72922</v>
      </c>
      <c r="O30" s="4">
        <v>388.70706999999999</v>
      </c>
      <c r="Q30" s="29">
        <v>4589.7</v>
      </c>
      <c r="R30" s="29">
        <v>4800.2299999999996</v>
      </c>
      <c r="S30" s="29">
        <v>4782.21</v>
      </c>
    </row>
    <row r="31" spans="1:19" x14ac:dyDescent="0.2">
      <c r="A31" s="38">
        <v>11</v>
      </c>
      <c r="B31" s="3" t="s">
        <v>30</v>
      </c>
      <c r="C31" s="3">
        <v>7</v>
      </c>
      <c r="D31" s="3">
        <v>0</v>
      </c>
      <c r="E31" s="3">
        <v>441</v>
      </c>
      <c r="F31" s="31">
        <f t="shared" si="2"/>
        <v>448</v>
      </c>
      <c r="H31" s="4">
        <v>66.83</v>
      </c>
      <c r="I31" s="4">
        <v>0</v>
      </c>
      <c r="J31" s="4">
        <v>62.21</v>
      </c>
      <c r="K31" s="4">
        <v>62.28</v>
      </c>
      <c r="M31" s="4">
        <v>350.16683</v>
      </c>
      <c r="N31" s="4">
        <v>249.51575</v>
      </c>
      <c r="O31" s="4">
        <v>251.13915</v>
      </c>
      <c r="Q31" s="29">
        <v>5185.1899999999996</v>
      </c>
      <c r="R31" s="29">
        <v>4126.8900000000003</v>
      </c>
      <c r="S31" s="29">
        <v>4143.96</v>
      </c>
    </row>
    <row r="32" spans="1:19" x14ac:dyDescent="0.2">
      <c r="A32" s="38">
        <v>12</v>
      </c>
      <c r="B32" s="3" t="s">
        <v>31</v>
      </c>
      <c r="C32" s="3">
        <v>167</v>
      </c>
      <c r="D32" s="3">
        <v>56</v>
      </c>
      <c r="E32" s="3">
        <v>78</v>
      </c>
      <c r="F32" s="31">
        <f t="shared" si="2"/>
        <v>301</v>
      </c>
      <c r="H32" s="4">
        <v>69.94</v>
      </c>
      <c r="I32" s="4">
        <v>57.75</v>
      </c>
      <c r="J32" s="4">
        <v>80.69</v>
      </c>
      <c r="K32" s="4">
        <v>70.319999999999993</v>
      </c>
      <c r="M32" s="4">
        <v>386.45943</v>
      </c>
      <c r="N32" s="4">
        <v>353.93011999999999</v>
      </c>
      <c r="O32" s="4">
        <v>376.94873999999999</v>
      </c>
      <c r="Q32" s="29">
        <v>5670.71</v>
      </c>
      <c r="R32" s="29">
        <v>4429.6099999999997</v>
      </c>
      <c r="S32" s="29">
        <v>5307.85</v>
      </c>
    </row>
    <row r="33" spans="1:19" x14ac:dyDescent="0.2">
      <c r="A33" s="38">
        <v>13</v>
      </c>
      <c r="B33" s="3" t="s">
        <v>32</v>
      </c>
      <c r="C33" s="3">
        <v>9</v>
      </c>
      <c r="D33" s="3">
        <v>0</v>
      </c>
      <c r="E33" s="3">
        <v>257</v>
      </c>
      <c r="F33" s="31">
        <f t="shared" si="2"/>
        <v>266</v>
      </c>
      <c r="H33" s="4">
        <v>52.78</v>
      </c>
      <c r="I33" s="4">
        <v>0</v>
      </c>
      <c r="J33" s="4">
        <v>72.95</v>
      </c>
      <c r="K33" s="4">
        <v>72.180000000000007</v>
      </c>
      <c r="M33" s="4">
        <v>186.83332999999999</v>
      </c>
      <c r="N33" s="4">
        <v>274.17844000000002</v>
      </c>
      <c r="O33" s="4">
        <v>269.78679</v>
      </c>
      <c r="Q33" s="29">
        <v>3641.8</v>
      </c>
      <c r="R33" s="29">
        <v>3821.24</v>
      </c>
      <c r="S33" s="29">
        <v>3812.22</v>
      </c>
    </row>
    <row r="34" spans="1:19" x14ac:dyDescent="0.2">
      <c r="A34" s="38">
        <v>14</v>
      </c>
      <c r="B34" s="3" t="s">
        <v>33</v>
      </c>
      <c r="C34" s="3">
        <v>10</v>
      </c>
      <c r="D34" s="3">
        <v>0</v>
      </c>
      <c r="E34" s="3">
        <v>69</v>
      </c>
      <c r="F34" s="31">
        <f t="shared" si="2"/>
        <v>79</v>
      </c>
      <c r="H34" s="4">
        <v>75.78</v>
      </c>
      <c r="I34" s="4">
        <v>0</v>
      </c>
      <c r="J34" s="4">
        <v>77.81</v>
      </c>
      <c r="K34" s="4">
        <v>77.540000000000006</v>
      </c>
      <c r="M34" s="4">
        <v>330.11111</v>
      </c>
      <c r="N34" s="4">
        <v>267.88135999999997</v>
      </c>
      <c r="O34" s="4">
        <v>276.11765000000003</v>
      </c>
      <c r="Q34" s="29">
        <v>4475.1899999999996</v>
      </c>
      <c r="R34" s="29">
        <v>3744.49</v>
      </c>
      <c r="S34" s="29">
        <v>3841.2</v>
      </c>
    </row>
    <row r="35" spans="1:19" x14ac:dyDescent="0.2">
      <c r="A35" s="38">
        <v>15</v>
      </c>
      <c r="B35" s="3" t="s">
        <v>34</v>
      </c>
      <c r="C35" s="3">
        <v>28</v>
      </c>
      <c r="D35" s="3">
        <v>0</v>
      </c>
      <c r="E35" s="3">
        <v>106</v>
      </c>
      <c r="F35" s="31">
        <f t="shared" si="2"/>
        <v>134</v>
      </c>
      <c r="H35" s="4">
        <v>67.81</v>
      </c>
      <c r="I35" s="4">
        <v>0</v>
      </c>
      <c r="J35" s="4">
        <v>70.64</v>
      </c>
      <c r="K35" s="4">
        <v>70.05</v>
      </c>
      <c r="M35" s="4">
        <v>294.68496000000005</v>
      </c>
      <c r="N35" s="4">
        <v>279.86322999999999</v>
      </c>
      <c r="O35" s="4">
        <v>282.99628000000001</v>
      </c>
      <c r="Q35" s="29">
        <v>4382.45</v>
      </c>
      <c r="R35" s="29">
        <v>4010.79</v>
      </c>
      <c r="S35" s="29">
        <v>4089.35</v>
      </c>
    </row>
    <row r="36" spans="1:19" x14ac:dyDescent="0.2">
      <c r="A36" s="38">
        <v>16</v>
      </c>
      <c r="B36" s="3" t="s">
        <v>35</v>
      </c>
      <c r="C36" s="3">
        <v>5</v>
      </c>
      <c r="D36" s="3">
        <v>1</v>
      </c>
      <c r="E36" s="3">
        <v>188</v>
      </c>
      <c r="F36" s="31">
        <f t="shared" si="2"/>
        <v>194</v>
      </c>
      <c r="H36" s="4">
        <v>90.33</v>
      </c>
      <c r="I36" s="4">
        <v>53</v>
      </c>
      <c r="J36" s="4">
        <v>70.59</v>
      </c>
      <c r="K36" s="4">
        <v>70.89</v>
      </c>
      <c r="M36" s="4">
        <v>322.48333000000002</v>
      </c>
      <c r="N36" s="4">
        <v>249.06204</v>
      </c>
      <c r="O36" s="4">
        <v>251.04640000000001</v>
      </c>
      <c r="Q36" s="29">
        <v>4168.1499999999996</v>
      </c>
      <c r="R36" s="29">
        <v>3534.17</v>
      </c>
      <c r="S36" s="29">
        <v>3551.3</v>
      </c>
    </row>
    <row r="37" spans="1:19" x14ac:dyDescent="0.2">
      <c r="A37" s="38">
        <v>17</v>
      </c>
      <c r="B37" s="3" t="s">
        <v>36</v>
      </c>
      <c r="C37" s="3">
        <v>16</v>
      </c>
      <c r="D37" s="3">
        <v>0</v>
      </c>
      <c r="E37" s="3">
        <v>220</v>
      </c>
      <c r="F37" s="31">
        <f t="shared" si="2"/>
        <v>236</v>
      </c>
      <c r="H37" s="4">
        <v>79.45</v>
      </c>
      <c r="I37" s="4">
        <v>0</v>
      </c>
      <c r="J37" s="4">
        <v>65.13</v>
      </c>
      <c r="K37" s="4">
        <v>65.95</v>
      </c>
      <c r="M37" s="4">
        <v>247.54545000000002</v>
      </c>
      <c r="N37" s="4">
        <v>258.36248000000001</v>
      </c>
      <c r="O37" s="4">
        <v>257.57447999999999</v>
      </c>
      <c r="Q37" s="29">
        <v>3266.88</v>
      </c>
      <c r="R37" s="29">
        <v>4068.46</v>
      </c>
      <c r="S37" s="29">
        <v>4010.07</v>
      </c>
    </row>
    <row r="38" spans="1:19" x14ac:dyDescent="0.2">
      <c r="A38" s="38">
        <v>18</v>
      </c>
      <c r="B38" s="3" t="s">
        <v>37</v>
      </c>
      <c r="C38" s="3">
        <v>25</v>
      </c>
      <c r="D38" s="3">
        <v>0</v>
      </c>
      <c r="E38" s="3">
        <v>339</v>
      </c>
      <c r="F38" s="31">
        <f t="shared" si="2"/>
        <v>364</v>
      </c>
      <c r="H38" s="4">
        <v>66.27</v>
      </c>
      <c r="I38" s="4">
        <v>0</v>
      </c>
      <c r="J38" s="4">
        <v>68.239999999999995</v>
      </c>
      <c r="K38" s="4">
        <v>68.13</v>
      </c>
      <c r="M38" s="4">
        <v>219.13333</v>
      </c>
      <c r="N38" s="4">
        <v>268.28017999999997</v>
      </c>
      <c r="O38" s="4">
        <v>265.07495</v>
      </c>
      <c r="Q38" s="29">
        <v>2974.41</v>
      </c>
      <c r="R38" s="29">
        <v>3965.5</v>
      </c>
      <c r="S38" s="29">
        <v>3900.86</v>
      </c>
    </row>
    <row r="39" spans="1:19" x14ac:dyDescent="0.2">
      <c r="A39" s="38">
        <v>19</v>
      </c>
      <c r="B39" s="3" t="s">
        <v>38</v>
      </c>
      <c r="C39" s="3">
        <v>22</v>
      </c>
      <c r="D39" s="3">
        <v>1</v>
      </c>
      <c r="E39" s="3">
        <v>348</v>
      </c>
      <c r="F39" s="31">
        <f t="shared" si="2"/>
        <v>371</v>
      </c>
      <c r="H39" s="4">
        <v>88.75</v>
      </c>
      <c r="I39" s="4">
        <v>0</v>
      </c>
      <c r="J39" s="4">
        <v>83.93</v>
      </c>
      <c r="K39" s="4">
        <v>84.23</v>
      </c>
      <c r="M39" s="4">
        <v>561.75</v>
      </c>
      <c r="N39" s="4">
        <v>446.64420000000001</v>
      </c>
      <c r="O39" s="4">
        <v>454.34358000000003</v>
      </c>
      <c r="Q39" s="29">
        <v>6355.38</v>
      </c>
      <c r="R39" s="29">
        <v>5272.28</v>
      </c>
      <c r="S39" s="29">
        <v>5344.73</v>
      </c>
    </row>
    <row r="40" spans="1:19" x14ac:dyDescent="0.2">
      <c r="A40" s="38">
        <v>20</v>
      </c>
      <c r="B40" s="3" t="s">
        <v>39</v>
      </c>
      <c r="C40" s="3">
        <v>0</v>
      </c>
      <c r="D40" s="3">
        <v>0</v>
      </c>
      <c r="E40" s="3">
        <v>162</v>
      </c>
      <c r="F40" s="31">
        <f t="shared" si="2"/>
        <v>162</v>
      </c>
      <c r="H40" s="4">
        <v>0</v>
      </c>
      <c r="I40" s="4">
        <v>0</v>
      </c>
      <c r="J40" s="4">
        <v>83.88</v>
      </c>
      <c r="K40" s="4">
        <v>83.88</v>
      </c>
      <c r="M40" s="4">
        <v>0</v>
      </c>
      <c r="N40" s="4">
        <v>391.99968999999999</v>
      </c>
      <c r="O40" s="4">
        <v>391.99968999999999</v>
      </c>
      <c r="Q40" s="29">
        <v>0</v>
      </c>
      <c r="R40" s="29">
        <v>4574.96</v>
      </c>
      <c r="S40" s="29">
        <v>4574.96</v>
      </c>
    </row>
    <row r="41" spans="1:19" x14ac:dyDescent="0.2">
      <c r="A41" s="38">
        <v>21</v>
      </c>
      <c r="B41" s="3" t="s">
        <v>40</v>
      </c>
      <c r="C41" s="3">
        <v>1</v>
      </c>
      <c r="D41" s="3">
        <v>0</v>
      </c>
      <c r="E41" s="3">
        <v>97</v>
      </c>
      <c r="F41" s="31">
        <f t="shared" si="2"/>
        <v>98</v>
      </c>
      <c r="H41" s="4">
        <v>100</v>
      </c>
      <c r="I41" s="4">
        <v>0</v>
      </c>
      <c r="J41" s="4">
        <v>153.69</v>
      </c>
      <c r="K41" s="4">
        <v>153.06</v>
      </c>
      <c r="M41" s="4">
        <v>0</v>
      </c>
      <c r="N41" s="4">
        <v>1121.5746799999999</v>
      </c>
      <c r="O41" s="4">
        <v>1114.47631</v>
      </c>
      <c r="Q41" s="29">
        <v>0</v>
      </c>
      <c r="R41" s="29">
        <v>6786.15</v>
      </c>
      <c r="S41" s="29">
        <v>6772.69</v>
      </c>
    </row>
    <row r="42" spans="1:19" x14ac:dyDescent="0.2">
      <c r="A42" s="38">
        <v>22</v>
      </c>
      <c r="B42" s="3" t="s">
        <v>41</v>
      </c>
      <c r="C42" s="3">
        <v>1</v>
      </c>
      <c r="D42" s="3">
        <v>0</v>
      </c>
      <c r="E42" s="3">
        <v>22</v>
      </c>
      <c r="F42" s="31">
        <f t="shared" si="2"/>
        <v>23</v>
      </c>
      <c r="H42" s="4">
        <v>86</v>
      </c>
      <c r="I42" s="4">
        <v>0</v>
      </c>
      <c r="J42" s="4">
        <v>139.43</v>
      </c>
      <c r="K42" s="4">
        <v>135.87</v>
      </c>
      <c r="M42" s="4">
        <v>0</v>
      </c>
      <c r="N42" s="4">
        <v>466.76922999999999</v>
      </c>
      <c r="O42" s="4">
        <v>462</v>
      </c>
      <c r="Q42" s="29">
        <v>0</v>
      </c>
      <c r="R42" s="29">
        <v>3730.04</v>
      </c>
      <c r="S42" s="29">
        <v>3795.83</v>
      </c>
    </row>
    <row r="43" spans="1:19" x14ac:dyDescent="0.2">
      <c r="A43" s="38">
        <v>23</v>
      </c>
      <c r="B43" s="3" t="s">
        <v>42</v>
      </c>
      <c r="C43" s="3">
        <v>8</v>
      </c>
      <c r="D43" s="3">
        <v>0</v>
      </c>
      <c r="E43" s="3">
        <v>156</v>
      </c>
      <c r="F43" s="31">
        <f t="shared" si="2"/>
        <v>164</v>
      </c>
      <c r="H43" s="4">
        <v>155.13</v>
      </c>
      <c r="I43" s="4">
        <v>0</v>
      </c>
      <c r="J43" s="4">
        <v>123.29</v>
      </c>
      <c r="K43" s="4">
        <v>125.01</v>
      </c>
      <c r="M43" s="4">
        <v>1794.5225</v>
      </c>
      <c r="N43" s="4">
        <v>828.22573</v>
      </c>
      <c r="O43" s="4">
        <v>885.91508999999996</v>
      </c>
      <c r="Q43" s="29">
        <v>10598.37</v>
      </c>
      <c r="R43" s="29">
        <v>6845.57</v>
      </c>
      <c r="S43" s="29">
        <v>7069.62</v>
      </c>
    </row>
    <row r="44" spans="1:19" x14ac:dyDescent="0.2">
      <c r="A44" s="38">
        <v>24</v>
      </c>
      <c r="B44" s="3" t="s">
        <v>43</v>
      </c>
      <c r="C44" s="3">
        <v>3</v>
      </c>
      <c r="D44" s="3">
        <v>0</v>
      </c>
      <c r="E44" s="3">
        <v>123</v>
      </c>
      <c r="F44" s="31">
        <f t="shared" si="2"/>
        <v>126</v>
      </c>
      <c r="H44" s="4">
        <v>177.67</v>
      </c>
      <c r="I44" s="4">
        <v>0</v>
      </c>
      <c r="J44" s="4">
        <v>154.16999999999999</v>
      </c>
      <c r="K44" s="4">
        <v>154.81</v>
      </c>
      <c r="M44" s="4">
        <v>1023.3333299999999</v>
      </c>
      <c r="N44" s="4">
        <v>996.36652000000004</v>
      </c>
      <c r="O44" s="4">
        <v>997.16750999999999</v>
      </c>
      <c r="Q44" s="29">
        <v>6022.93</v>
      </c>
      <c r="R44" s="29">
        <v>6495.87</v>
      </c>
      <c r="S44" s="29">
        <v>6481.82</v>
      </c>
    </row>
    <row r="45" spans="1:19" x14ac:dyDescent="0.2">
      <c r="A45" s="38">
        <v>25</v>
      </c>
      <c r="B45" s="3" t="s">
        <v>44</v>
      </c>
      <c r="C45" s="3">
        <v>29</v>
      </c>
      <c r="D45" s="3">
        <v>0</v>
      </c>
      <c r="E45" s="3">
        <v>172</v>
      </c>
      <c r="F45" s="31">
        <f t="shared" si="2"/>
        <v>201</v>
      </c>
      <c r="H45" s="4">
        <v>87</v>
      </c>
      <c r="I45" s="4">
        <v>0</v>
      </c>
      <c r="J45" s="4">
        <v>121.59</v>
      </c>
      <c r="K45" s="4">
        <v>116.82</v>
      </c>
      <c r="M45" s="4">
        <v>575.88042000000007</v>
      </c>
      <c r="N45" s="4">
        <v>784.45650999999998</v>
      </c>
      <c r="O45" s="4">
        <v>755.68739000000005</v>
      </c>
      <c r="Q45" s="29">
        <v>6688.63</v>
      </c>
      <c r="R45" s="29">
        <v>6464.29</v>
      </c>
      <c r="S45" s="29">
        <v>6495.23</v>
      </c>
    </row>
    <row r="46" spans="1:19" x14ac:dyDescent="0.2">
      <c r="A46" s="38">
        <v>26</v>
      </c>
      <c r="B46" s="3" t="s">
        <v>45</v>
      </c>
      <c r="C46" s="3">
        <v>50</v>
      </c>
      <c r="D46" s="3">
        <v>0</v>
      </c>
      <c r="E46" s="3">
        <v>415</v>
      </c>
      <c r="F46" s="31">
        <f t="shared" si="2"/>
        <v>465</v>
      </c>
      <c r="H46" s="4">
        <v>135</v>
      </c>
      <c r="I46" s="4">
        <v>0</v>
      </c>
      <c r="J46" s="4">
        <v>137.07</v>
      </c>
      <c r="K46" s="4">
        <v>136.86000000000001</v>
      </c>
      <c r="M46" s="4">
        <v>809.72616000000005</v>
      </c>
      <c r="N46" s="4">
        <v>819.69780000000003</v>
      </c>
      <c r="O46" s="4">
        <v>818.68127000000004</v>
      </c>
      <c r="Q46" s="29">
        <v>6132.11</v>
      </c>
      <c r="R46" s="29">
        <v>6052.43</v>
      </c>
      <c r="S46" s="29">
        <v>6060.55</v>
      </c>
    </row>
    <row r="47" spans="1:19" x14ac:dyDescent="0.2">
      <c r="A47" s="38">
        <v>27</v>
      </c>
      <c r="B47" s="3" t="s">
        <v>46</v>
      </c>
      <c r="C47" s="3">
        <v>14</v>
      </c>
      <c r="D47" s="3">
        <v>0</v>
      </c>
      <c r="E47" s="3">
        <v>231</v>
      </c>
      <c r="F47" s="31">
        <f t="shared" si="2"/>
        <v>245</v>
      </c>
      <c r="H47" s="4">
        <v>61</v>
      </c>
      <c r="I47" s="4">
        <v>0</v>
      </c>
      <c r="J47" s="4">
        <v>101.39</v>
      </c>
      <c r="K47" s="4">
        <v>99.77</v>
      </c>
      <c r="M47" s="4">
        <v>348.33332999999999</v>
      </c>
      <c r="N47" s="4">
        <v>510.14883000000003</v>
      </c>
      <c r="O47" s="4">
        <v>503.46836999999999</v>
      </c>
      <c r="Q47" s="29">
        <v>5969.52</v>
      </c>
      <c r="R47" s="29">
        <v>5197.5600000000004</v>
      </c>
      <c r="S47" s="29">
        <v>5229.43</v>
      </c>
    </row>
    <row r="48" spans="1:19" x14ac:dyDescent="0.2">
      <c r="A48" s="38">
        <v>28</v>
      </c>
      <c r="B48" s="3" t="s">
        <v>47</v>
      </c>
      <c r="C48" s="3">
        <v>67</v>
      </c>
      <c r="D48" s="3">
        <v>2</v>
      </c>
      <c r="E48" s="3">
        <v>95</v>
      </c>
      <c r="F48" s="31">
        <f t="shared" si="2"/>
        <v>164</v>
      </c>
      <c r="H48" s="4">
        <v>116.03</v>
      </c>
      <c r="I48" s="4">
        <v>80</v>
      </c>
      <c r="J48" s="4">
        <v>92.94</v>
      </c>
      <c r="K48" s="4">
        <v>102.06</v>
      </c>
      <c r="M48" s="4">
        <v>468.37146999999999</v>
      </c>
      <c r="N48" s="4">
        <v>420.54128000000003</v>
      </c>
      <c r="O48" s="4">
        <v>440.41439000000003</v>
      </c>
      <c r="Q48" s="29">
        <v>4471.8999999999996</v>
      </c>
      <c r="R48" s="29">
        <v>4475.6099999999997</v>
      </c>
      <c r="S48" s="29">
        <v>4474.07</v>
      </c>
    </row>
    <row r="49" spans="1:19" x14ac:dyDescent="0.2">
      <c r="A49" s="38">
        <v>29</v>
      </c>
      <c r="B49" s="3" t="s">
        <v>48</v>
      </c>
      <c r="C49" s="3">
        <v>14</v>
      </c>
      <c r="D49" s="3">
        <v>0</v>
      </c>
      <c r="E49" s="3">
        <v>37</v>
      </c>
      <c r="F49" s="31">
        <f t="shared" si="2"/>
        <v>51</v>
      </c>
      <c r="H49" s="4">
        <v>70.569999999999993</v>
      </c>
      <c r="I49" s="4">
        <v>0</v>
      </c>
      <c r="J49" s="4">
        <v>74.83</v>
      </c>
      <c r="K49" s="4">
        <v>73.64</v>
      </c>
      <c r="M49" s="4">
        <v>253.78579000000002</v>
      </c>
      <c r="N49" s="4">
        <v>274.06650000000002</v>
      </c>
      <c r="O49" s="4">
        <v>268.15128999999996</v>
      </c>
      <c r="Q49" s="29">
        <v>3608.41</v>
      </c>
      <c r="R49" s="29">
        <v>3522.11</v>
      </c>
      <c r="S49" s="29">
        <v>3547.28</v>
      </c>
    </row>
    <row r="50" spans="1:19" x14ac:dyDescent="0.2">
      <c r="A50" s="38">
        <v>30</v>
      </c>
      <c r="B50" s="3" t="s">
        <v>49</v>
      </c>
      <c r="C50" s="3">
        <v>6</v>
      </c>
      <c r="D50" s="3">
        <v>0</v>
      </c>
      <c r="E50" s="3">
        <v>128</v>
      </c>
      <c r="F50" s="31">
        <f t="shared" si="2"/>
        <v>134</v>
      </c>
      <c r="H50" s="4">
        <v>83.2</v>
      </c>
      <c r="I50" s="4">
        <v>0</v>
      </c>
      <c r="J50" s="4">
        <v>87.45</v>
      </c>
      <c r="K50" s="4">
        <v>87.28</v>
      </c>
      <c r="M50" s="4">
        <v>511</v>
      </c>
      <c r="N50" s="4">
        <v>391.91077000000001</v>
      </c>
      <c r="O50" s="4">
        <v>396.7518</v>
      </c>
      <c r="Q50" s="29">
        <v>6098.39</v>
      </c>
      <c r="R50" s="29">
        <v>4633.6899999999996</v>
      </c>
      <c r="S50" s="29">
        <v>4693.2299999999996</v>
      </c>
    </row>
    <row r="51" spans="1:19" x14ac:dyDescent="0.2">
      <c r="A51" s="38">
        <v>31</v>
      </c>
      <c r="B51" s="3" t="s">
        <v>50</v>
      </c>
      <c r="C51" s="3">
        <v>11</v>
      </c>
      <c r="D51" s="3">
        <v>0</v>
      </c>
      <c r="E51" s="3">
        <v>443</v>
      </c>
      <c r="F51" s="31">
        <f t="shared" si="2"/>
        <v>454</v>
      </c>
      <c r="H51" s="4">
        <v>80.33</v>
      </c>
      <c r="I51" s="4">
        <v>0</v>
      </c>
      <c r="J51" s="4">
        <v>77.95</v>
      </c>
      <c r="K51" s="4">
        <v>78.010000000000005</v>
      </c>
      <c r="M51" s="4">
        <v>666.64856000000009</v>
      </c>
      <c r="N51" s="4">
        <v>388.83913999999999</v>
      </c>
      <c r="O51" s="4">
        <v>395.3673</v>
      </c>
      <c r="Q51" s="29">
        <v>6469.82</v>
      </c>
      <c r="R51" s="29">
        <v>5061.22</v>
      </c>
      <c r="S51" s="29">
        <v>5094.32</v>
      </c>
    </row>
    <row r="52" spans="1:19" x14ac:dyDescent="0.2">
      <c r="A52" s="38">
        <v>32</v>
      </c>
      <c r="B52" s="3" t="s">
        <v>51</v>
      </c>
      <c r="C52" s="3">
        <v>7</v>
      </c>
      <c r="D52" s="3">
        <v>0</v>
      </c>
      <c r="E52" s="3">
        <v>300</v>
      </c>
      <c r="F52" s="31">
        <f t="shared" si="2"/>
        <v>307</v>
      </c>
      <c r="H52" s="4">
        <v>96.29</v>
      </c>
      <c r="I52" s="4">
        <v>0</v>
      </c>
      <c r="J52" s="4">
        <v>75.28</v>
      </c>
      <c r="K52" s="4">
        <v>75.8</v>
      </c>
      <c r="M52" s="4">
        <v>615.31429000000003</v>
      </c>
      <c r="N52" s="4">
        <v>358.61142999999998</v>
      </c>
      <c r="O52" s="4">
        <v>364.98349000000002</v>
      </c>
      <c r="Q52" s="29">
        <v>6519.91</v>
      </c>
      <c r="R52" s="29">
        <v>4852.28</v>
      </c>
      <c r="S52" s="29">
        <v>4893.68</v>
      </c>
    </row>
    <row r="53" spans="1:19" x14ac:dyDescent="0.2">
      <c r="A53" s="38">
        <v>33</v>
      </c>
      <c r="B53" s="3" t="s">
        <v>52</v>
      </c>
      <c r="C53" s="3">
        <v>7</v>
      </c>
      <c r="D53" s="3">
        <v>0</v>
      </c>
      <c r="E53" s="3">
        <v>160</v>
      </c>
      <c r="F53" s="31">
        <f t="shared" si="2"/>
        <v>167</v>
      </c>
      <c r="H53" s="4">
        <v>56.5</v>
      </c>
      <c r="I53" s="4">
        <v>0</v>
      </c>
      <c r="J53" s="4">
        <v>70.63</v>
      </c>
      <c r="K53" s="4">
        <v>70.05</v>
      </c>
      <c r="M53" s="4">
        <v>223.66667000000001</v>
      </c>
      <c r="N53" s="4">
        <v>292.39934999999997</v>
      </c>
      <c r="O53" s="4">
        <v>289.53548999999998</v>
      </c>
      <c r="Q53" s="29">
        <v>3976.21</v>
      </c>
      <c r="R53" s="29">
        <v>4249.79</v>
      </c>
      <c r="S53" s="29">
        <v>4238.3900000000003</v>
      </c>
    </row>
    <row r="54" spans="1:19" x14ac:dyDescent="0.2">
      <c r="A54" s="38">
        <v>34</v>
      </c>
      <c r="B54" s="3" t="s">
        <v>53</v>
      </c>
      <c r="C54" s="3">
        <v>0</v>
      </c>
      <c r="D54" s="3">
        <v>0</v>
      </c>
      <c r="E54" s="3">
        <v>77</v>
      </c>
      <c r="F54" s="31">
        <f t="shared" si="2"/>
        <v>77</v>
      </c>
      <c r="H54" s="4">
        <v>0</v>
      </c>
      <c r="I54" s="4">
        <v>0</v>
      </c>
      <c r="J54" s="4">
        <v>60.47</v>
      </c>
      <c r="K54" s="4">
        <v>60.47</v>
      </c>
      <c r="M54" s="4">
        <v>0</v>
      </c>
      <c r="N54" s="4">
        <v>193.77017000000001</v>
      </c>
      <c r="O54" s="4">
        <v>193.77017000000001</v>
      </c>
      <c r="Q54" s="29">
        <v>0</v>
      </c>
      <c r="R54" s="29">
        <v>3203.62</v>
      </c>
      <c r="S54" s="29">
        <v>3203.62</v>
      </c>
    </row>
    <row r="55" spans="1:19" x14ac:dyDescent="0.2">
      <c r="A55" s="38">
        <v>35</v>
      </c>
      <c r="B55" s="3" t="s">
        <v>54</v>
      </c>
      <c r="C55" s="3">
        <v>61</v>
      </c>
      <c r="D55" s="3">
        <v>0</v>
      </c>
      <c r="E55" s="3">
        <v>287</v>
      </c>
      <c r="F55" s="31">
        <f t="shared" si="2"/>
        <v>348</v>
      </c>
      <c r="H55" s="4">
        <v>79.25</v>
      </c>
      <c r="I55" s="4">
        <v>0</v>
      </c>
      <c r="J55" s="4">
        <v>71.98</v>
      </c>
      <c r="K55" s="4">
        <v>73.319999999999993</v>
      </c>
      <c r="M55" s="4">
        <v>421.33075000000002</v>
      </c>
      <c r="N55" s="4">
        <v>270.96764000000002</v>
      </c>
      <c r="O55" s="4">
        <v>298.94216999999998</v>
      </c>
      <c r="Q55" s="29">
        <v>5387.41</v>
      </c>
      <c r="R55" s="29">
        <v>3845.73</v>
      </c>
      <c r="S55" s="29">
        <v>4132.55</v>
      </c>
    </row>
    <row r="56" spans="1:19" x14ac:dyDescent="0.2">
      <c r="A56" s="38">
        <v>36</v>
      </c>
      <c r="B56" s="3" t="s">
        <v>55</v>
      </c>
      <c r="C56" s="3">
        <v>24</v>
      </c>
      <c r="D56" s="3">
        <v>0</v>
      </c>
      <c r="E56" s="3">
        <v>81</v>
      </c>
      <c r="F56" s="31">
        <f t="shared" si="2"/>
        <v>105</v>
      </c>
      <c r="H56" s="4">
        <v>74.58</v>
      </c>
      <c r="I56" s="4">
        <v>0</v>
      </c>
      <c r="J56" s="4">
        <v>80.459999999999994</v>
      </c>
      <c r="K56" s="4">
        <v>78.97</v>
      </c>
      <c r="M56" s="4">
        <v>442.03896000000003</v>
      </c>
      <c r="N56" s="4">
        <v>300.93362000000002</v>
      </c>
      <c r="O56" s="4">
        <v>336.96052000000003</v>
      </c>
      <c r="Q56" s="29">
        <v>6227.65</v>
      </c>
      <c r="R56" s="29">
        <v>3954.5</v>
      </c>
      <c r="S56" s="29">
        <v>4534.88</v>
      </c>
    </row>
    <row r="57" spans="1:19" x14ac:dyDescent="0.2">
      <c r="A57" s="38">
        <v>37</v>
      </c>
      <c r="B57" s="3" t="s">
        <v>56</v>
      </c>
      <c r="C57" s="3">
        <v>82</v>
      </c>
      <c r="D57" s="3">
        <v>6</v>
      </c>
      <c r="E57" s="3">
        <v>243</v>
      </c>
      <c r="F57" s="31">
        <f t="shared" si="2"/>
        <v>331</v>
      </c>
      <c r="H57" s="4">
        <v>64.22</v>
      </c>
      <c r="I57" s="4">
        <v>76</v>
      </c>
      <c r="J57" s="4">
        <v>62.02</v>
      </c>
      <c r="K57" s="4">
        <v>62.82</v>
      </c>
      <c r="M57" s="4">
        <v>166.8296</v>
      </c>
      <c r="N57" s="4">
        <v>166.62925000000001</v>
      </c>
      <c r="O57" s="4">
        <v>166.68276999999998</v>
      </c>
      <c r="Q57" s="29">
        <v>2701.03</v>
      </c>
      <c r="R57" s="29">
        <v>2792.95</v>
      </c>
      <c r="S57" s="29">
        <v>2768.4</v>
      </c>
    </row>
    <row r="58" spans="1:19" x14ac:dyDescent="0.2">
      <c r="A58" s="38">
        <v>38</v>
      </c>
      <c r="B58" s="3" t="s">
        <v>57</v>
      </c>
      <c r="C58" s="3">
        <v>64</v>
      </c>
      <c r="D58" s="3">
        <v>1</v>
      </c>
      <c r="E58" s="3">
        <v>91</v>
      </c>
      <c r="F58" s="31">
        <f t="shared" si="2"/>
        <v>156</v>
      </c>
      <c r="H58" s="4">
        <v>55.84</v>
      </c>
      <c r="I58" s="4">
        <v>44</v>
      </c>
      <c r="J58" s="4">
        <v>63.33</v>
      </c>
      <c r="K58" s="4">
        <v>60.13</v>
      </c>
      <c r="M58" s="4">
        <v>146.56897000000001</v>
      </c>
      <c r="N58" s="4">
        <v>189.58629999999999</v>
      </c>
      <c r="O58" s="4">
        <v>171.50654999999998</v>
      </c>
      <c r="Q58" s="29">
        <v>2585.21</v>
      </c>
      <c r="R58" s="29">
        <v>3050.42</v>
      </c>
      <c r="S58" s="29">
        <v>2854.9</v>
      </c>
    </row>
    <row r="59" spans="1:19" x14ac:dyDescent="0.2">
      <c r="A59" s="38">
        <v>39</v>
      </c>
      <c r="B59" s="3" t="s">
        <v>58</v>
      </c>
      <c r="C59" s="3">
        <v>35</v>
      </c>
      <c r="D59" s="3">
        <v>1</v>
      </c>
      <c r="E59" s="3">
        <v>28</v>
      </c>
      <c r="F59" s="31">
        <f t="shared" si="2"/>
        <v>64</v>
      </c>
      <c r="H59" s="4">
        <v>71</v>
      </c>
      <c r="I59" s="4">
        <v>67</v>
      </c>
      <c r="J59" s="4">
        <v>79.63</v>
      </c>
      <c r="K59" s="4">
        <v>75.239999999999995</v>
      </c>
      <c r="M59" s="4">
        <v>247.89615000000001</v>
      </c>
      <c r="N59" s="4">
        <v>262.62963000000002</v>
      </c>
      <c r="O59" s="4">
        <v>255.40189000000001</v>
      </c>
      <c r="Q59" s="29">
        <v>3487.86</v>
      </c>
      <c r="R59" s="29">
        <v>3271.66</v>
      </c>
      <c r="S59" s="29">
        <v>3377.72</v>
      </c>
    </row>
    <row r="60" spans="1:19" x14ac:dyDescent="0.2">
      <c r="A60" s="38">
        <v>40</v>
      </c>
      <c r="B60" s="3" t="s">
        <v>59</v>
      </c>
      <c r="C60" s="3">
        <v>11</v>
      </c>
      <c r="D60" s="3">
        <v>1</v>
      </c>
      <c r="E60" s="3">
        <v>32</v>
      </c>
      <c r="F60" s="31">
        <f t="shared" si="2"/>
        <v>44</v>
      </c>
      <c r="H60" s="4">
        <v>62.33</v>
      </c>
      <c r="I60" s="4">
        <v>0</v>
      </c>
      <c r="J60" s="4">
        <v>62.97</v>
      </c>
      <c r="K60" s="4">
        <v>62.82</v>
      </c>
      <c r="M60" s="4">
        <v>184.33332999999999</v>
      </c>
      <c r="N60" s="4">
        <v>186.30804000000001</v>
      </c>
      <c r="O60" s="4">
        <v>185.82771</v>
      </c>
      <c r="Q60" s="29">
        <v>3013.15</v>
      </c>
      <c r="R60" s="29">
        <v>3001.8</v>
      </c>
      <c r="S60" s="29">
        <v>3004.56</v>
      </c>
    </row>
    <row r="61" spans="1:19" x14ac:dyDescent="0.2">
      <c r="A61" s="38">
        <v>41</v>
      </c>
      <c r="B61" s="3" t="s">
        <v>60</v>
      </c>
      <c r="C61" s="3">
        <v>6</v>
      </c>
      <c r="D61" s="3">
        <v>0</v>
      </c>
      <c r="E61" s="3">
        <v>24</v>
      </c>
      <c r="F61" s="31">
        <f t="shared" si="2"/>
        <v>30</v>
      </c>
      <c r="H61" s="4">
        <v>55</v>
      </c>
      <c r="I61" s="4">
        <v>0</v>
      </c>
      <c r="J61" s="4">
        <v>62.32</v>
      </c>
      <c r="K61" s="4">
        <v>60.96</v>
      </c>
      <c r="M61" s="4">
        <v>206.02583999999999</v>
      </c>
      <c r="N61" s="4">
        <v>246.42857000000001</v>
      </c>
      <c r="O61" s="4">
        <v>238.65880999999999</v>
      </c>
      <c r="Q61" s="29">
        <v>3959.28</v>
      </c>
      <c r="R61" s="29">
        <v>4072.66</v>
      </c>
      <c r="S61" s="29">
        <v>4050.86</v>
      </c>
    </row>
    <row r="62" spans="1:19" x14ac:dyDescent="0.2">
      <c r="A62" s="38">
        <v>42</v>
      </c>
      <c r="B62" s="3" t="s">
        <v>61</v>
      </c>
      <c r="C62" s="3">
        <v>87</v>
      </c>
      <c r="D62" s="3">
        <v>1</v>
      </c>
      <c r="E62" s="3">
        <v>2</v>
      </c>
      <c r="F62" s="31">
        <f t="shared" si="2"/>
        <v>90</v>
      </c>
      <c r="H62" s="4">
        <v>89.47</v>
      </c>
      <c r="I62" s="4">
        <v>0</v>
      </c>
      <c r="J62" s="4">
        <v>81</v>
      </c>
      <c r="K62" s="4">
        <v>89.28</v>
      </c>
      <c r="M62" s="4">
        <v>371.81313</v>
      </c>
      <c r="N62" s="4">
        <v>0</v>
      </c>
      <c r="O62" s="4">
        <v>370.24771000000004</v>
      </c>
      <c r="Q62" s="29">
        <v>4083.94</v>
      </c>
      <c r="R62" s="29">
        <v>0</v>
      </c>
      <c r="S62" s="29">
        <v>4057.79</v>
      </c>
    </row>
    <row r="63" spans="1:19" x14ac:dyDescent="0.2">
      <c r="A63" s="38">
        <v>43</v>
      </c>
      <c r="B63" s="3" t="s">
        <v>62</v>
      </c>
      <c r="C63" s="3">
        <v>51</v>
      </c>
      <c r="D63" s="3">
        <v>20</v>
      </c>
      <c r="E63" s="3">
        <v>181</v>
      </c>
      <c r="F63" s="31">
        <f t="shared" si="2"/>
        <v>252</v>
      </c>
      <c r="H63" s="4">
        <v>88.15</v>
      </c>
      <c r="I63" s="4">
        <v>70</v>
      </c>
      <c r="J63" s="4">
        <v>68.290000000000006</v>
      </c>
      <c r="K63" s="4">
        <v>72.680000000000007</v>
      </c>
      <c r="M63" s="4">
        <v>397.37383</v>
      </c>
      <c r="N63" s="4">
        <v>255.48714000000001</v>
      </c>
      <c r="O63" s="4">
        <v>295.90334999999999</v>
      </c>
      <c r="Q63" s="29">
        <v>4570.1000000000004</v>
      </c>
      <c r="R63" s="29">
        <v>3736.7</v>
      </c>
      <c r="S63" s="29">
        <v>3974.09</v>
      </c>
    </row>
    <row r="64" spans="1:19" x14ac:dyDescent="0.2">
      <c r="A64" s="38">
        <v>44</v>
      </c>
      <c r="B64" s="3" t="s">
        <v>63</v>
      </c>
      <c r="C64" s="3">
        <v>4</v>
      </c>
      <c r="D64" s="3">
        <v>0</v>
      </c>
      <c r="E64" s="3">
        <v>185</v>
      </c>
      <c r="F64" s="31">
        <f t="shared" si="2"/>
        <v>189</v>
      </c>
      <c r="H64" s="4">
        <v>69.5</v>
      </c>
      <c r="I64" s="4">
        <v>0</v>
      </c>
      <c r="J64" s="4">
        <v>71.739999999999995</v>
      </c>
      <c r="K64" s="4">
        <v>71.709999999999994</v>
      </c>
      <c r="M64" s="4">
        <v>459</v>
      </c>
      <c r="N64" s="4">
        <v>240.82214999999999</v>
      </c>
      <c r="O64" s="4">
        <v>243.69291000000001</v>
      </c>
      <c r="Q64" s="29">
        <v>7168.99</v>
      </c>
      <c r="R64" s="29">
        <v>3435.75</v>
      </c>
      <c r="S64" s="29">
        <v>3484.87</v>
      </c>
    </row>
    <row r="65" spans="1:19" x14ac:dyDescent="0.2">
      <c r="A65" s="38">
        <v>45</v>
      </c>
      <c r="B65" s="3" t="s">
        <v>64</v>
      </c>
      <c r="C65" s="3">
        <v>3</v>
      </c>
      <c r="D65" s="3">
        <v>0</v>
      </c>
      <c r="E65" s="3">
        <v>188</v>
      </c>
      <c r="F65" s="31">
        <f t="shared" si="2"/>
        <v>191</v>
      </c>
      <c r="H65" s="4">
        <v>65.33</v>
      </c>
      <c r="I65" s="4">
        <v>0</v>
      </c>
      <c r="J65" s="4">
        <v>65.52</v>
      </c>
      <c r="K65" s="4">
        <v>65.52</v>
      </c>
      <c r="M65" s="4">
        <v>112.33333</v>
      </c>
      <c r="N65" s="4">
        <v>204.93765999999999</v>
      </c>
      <c r="O65" s="4">
        <v>202.81695000000002</v>
      </c>
      <c r="Q65" s="29">
        <v>1721.21</v>
      </c>
      <c r="R65" s="29">
        <v>3134.06</v>
      </c>
      <c r="S65" s="29">
        <v>3101.7</v>
      </c>
    </row>
    <row r="66" spans="1:19" x14ac:dyDescent="0.2">
      <c r="A66" s="38">
        <v>46</v>
      </c>
      <c r="B66" s="3" t="s">
        <v>65</v>
      </c>
      <c r="C66" s="3">
        <v>2</v>
      </c>
      <c r="D66" s="3">
        <v>0</v>
      </c>
      <c r="E66" s="3">
        <v>170</v>
      </c>
      <c r="F66" s="31">
        <f t="shared" si="2"/>
        <v>172</v>
      </c>
      <c r="H66" s="4">
        <v>61.5</v>
      </c>
      <c r="I66" s="4">
        <v>0</v>
      </c>
      <c r="J66" s="4">
        <v>62.71</v>
      </c>
      <c r="K66" s="4">
        <v>62.69</v>
      </c>
      <c r="M66" s="4">
        <v>0</v>
      </c>
      <c r="N66" s="4">
        <v>159.96823999999998</v>
      </c>
      <c r="O66" s="4">
        <v>161.01597000000001</v>
      </c>
      <c r="Q66" s="29">
        <v>0</v>
      </c>
      <c r="R66" s="29">
        <v>2563.04</v>
      </c>
      <c r="S66" s="29">
        <v>2587.29</v>
      </c>
    </row>
    <row r="67" spans="1:19" x14ac:dyDescent="0.2">
      <c r="A67" s="38">
        <v>47</v>
      </c>
      <c r="B67" s="3" t="s">
        <v>66</v>
      </c>
      <c r="C67" s="3">
        <v>0</v>
      </c>
      <c r="D67" s="3">
        <v>0</v>
      </c>
      <c r="E67" s="3">
        <v>4</v>
      </c>
      <c r="F67" s="31">
        <f t="shared" si="2"/>
        <v>4</v>
      </c>
      <c r="H67" s="4">
        <v>0</v>
      </c>
      <c r="I67" s="4">
        <v>0</v>
      </c>
      <c r="J67" s="4">
        <v>70</v>
      </c>
      <c r="K67" s="4">
        <v>70</v>
      </c>
      <c r="M67" s="4">
        <v>0</v>
      </c>
      <c r="N67" s="4">
        <v>145</v>
      </c>
      <c r="O67" s="4">
        <v>145</v>
      </c>
      <c r="Q67" s="29">
        <v>0</v>
      </c>
      <c r="R67" s="29">
        <v>2080.42</v>
      </c>
      <c r="S67" s="29">
        <v>2080.42</v>
      </c>
    </row>
    <row r="68" spans="1:19" x14ac:dyDescent="0.2">
      <c r="A68" s="38">
        <v>48</v>
      </c>
      <c r="B68" s="3" t="s">
        <v>67</v>
      </c>
      <c r="C68" s="3">
        <v>0</v>
      </c>
      <c r="D68" s="3">
        <v>0</v>
      </c>
      <c r="E68" s="3">
        <v>93</v>
      </c>
      <c r="F68" s="31">
        <f t="shared" si="2"/>
        <v>93</v>
      </c>
      <c r="H68" s="4">
        <v>0</v>
      </c>
      <c r="I68" s="4">
        <v>0</v>
      </c>
      <c r="J68" s="4">
        <v>72.930000000000007</v>
      </c>
      <c r="K68" s="4">
        <v>72.930000000000007</v>
      </c>
      <c r="M68" s="4">
        <v>0</v>
      </c>
      <c r="N68" s="4">
        <v>210.26301999999998</v>
      </c>
      <c r="O68" s="4">
        <v>210.26301999999998</v>
      </c>
      <c r="Q68" s="29">
        <v>0</v>
      </c>
      <c r="R68" s="29">
        <v>2918.31</v>
      </c>
      <c r="S68" s="29">
        <v>2918.31</v>
      </c>
    </row>
    <row r="69" spans="1:19" x14ac:dyDescent="0.2">
      <c r="A69" s="38">
        <v>49</v>
      </c>
      <c r="B69" s="3" t="s">
        <v>68</v>
      </c>
      <c r="C69" s="3">
        <v>0</v>
      </c>
      <c r="D69" s="3">
        <v>0</v>
      </c>
      <c r="E69" s="3">
        <v>29</v>
      </c>
      <c r="F69" s="31">
        <f t="shared" si="2"/>
        <v>29</v>
      </c>
      <c r="H69" s="4">
        <v>0</v>
      </c>
      <c r="I69" s="4">
        <v>0</v>
      </c>
      <c r="J69" s="4">
        <v>68.09</v>
      </c>
      <c r="K69" s="4">
        <v>68.09</v>
      </c>
      <c r="M69" s="4">
        <v>0</v>
      </c>
      <c r="N69" s="4">
        <v>188.75700000000001</v>
      </c>
      <c r="O69" s="4">
        <v>188.75700000000001</v>
      </c>
      <c r="Q69" s="29">
        <v>0</v>
      </c>
      <c r="R69" s="29">
        <v>2856.95</v>
      </c>
      <c r="S69" s="29">
        <v>2856.95</v>
      </c>
    </row>
    <row r="70" spans="1:19" x14ac:dyDescent="0.2">
      <c r="A70" s="38">
        <v>50</v>
      </c>
      <c r="B70" s="3" t="s">
        <v>69</v>
      </c>
      <c r="C70" s="3">
        <v>0</v>
      </c>
      <c r="D70" s="3">
        <v>0</v>
      </c>
      <c r="E70" s="3">
        <v>167</v>
      </c>
      <c r="F70" s="31">
        <f t="shared" si="2"/>
        <v>167</v>
      </c>
      <c r="H70" s="4">
        <v>0</v>
      </c>
      <c r="I70" s="4">
        <v>0</v>
      </c>
      <c r="J70" s="4">
        <v>60.17</v>
      </c>
      <c r="K70" s="4">
        <v>60.17</v>
      </c>
      <c r="M70" s="4">
        <v>0</v>
      </c>
      <c r="N70" s="4">
        <v>134.31289000000001</v>
      </c>
      <c r="O70" s="4">
        <v>134.31289000000001</v>
      </c>
      <c r="Q70" s="29">
        <v>0</v>
      </c>
      <c r="R70" s="29">
        <v>2302.46</v>
      </c>
      <c r="S70" s="29">
        <v>2302.46</v>
      </c>
    </row>
    <row r="71" spans="1:19" x14ac:dyDescent="0.2">
      <c r="A71" s="38">
        <v>51</v>
      </c>
      <c r="B71" s="3" t="s">
        <v>70</v>
      </c>
      <c r="C71" s="3">
        <v>1</v>
      </c>
      <c r="D71" s="3">
        <v>0</v>
      </c>
      <c r="E71" s="3">
        <v>137</v>
      </c>
      <c r="F71" s="31">
        <f t="shared" si="2"/>
        <v>138</v>
      </c>
      <c r="H71" s="4">
        <v>66</v>
      </c>
      <c r="I71" s="4">
        <v>0</v>
      </c>
      <c r="J71" s="4">
        <v>58.1</v>
      </c>
      <c r="K71" s="4">
        <v>58.16</v>
      </c>
      <c r="M71" s="4">
        <v>0</v>
      </c>
      <c r="N71" s="4">
        <v>155.60290000000001</v>
      </c>
      <c r="O71" s="4">
        <v>156.07861</v>
      </c>
      <c r="Q71" s="29">
        <v>0</v>
      </c>
      <c r="R71" s="29">
        <v>2789.12</v>
      </c>
      <c r="S71" s="29">
        <v>2789.79</v>
      </c>
    </row>
    <row r="72" spans="1:19" x14ac:dyDescent="0.2">
      <c r="A72" s="38">
        <v>52</v>
      </c>
      <c r="B72" s="3" t="s">
        <v>71</v>
      </c>
      <c r="C72" s="3">
        <v>7</v>
      </c>
      <c r="D72" s="3">
        <v>0</v>
      </c>
      <c r="E72" s="3">
        <v>270</v>
      </c>
      <c r="F72" s="31">
        <f t="shared" si="2"/>
        <v>277</v>
      </c>
      <c r="H72" s="4">
        <v>82</v>
      </c>
      <c r="I72" s="4">
        <v>0</v>
      </c>
      <c r="J72" s="4">
        <v>60.09</v>
      </c>
      <c r="K72" s="4">
        <v>60.46</v>
      </c>
      <c r="M72" s="4">
        <v>231.25</v>
      </c>
      <c r="N72" s="4">
        <v>167.00104000000002</v>
      </c>
      <c r="O72" s="4">
        <v>168.23069000000001</v>
      </c>
      <c r="Q72" s="29">
        <v>3376.43</v>
      </c>
      <c r="R72" s="29">
        <v>2824.91</v>
      </c>
      <c r="S72" s="29">
        <v>2835.47</v>
      </c>
    </row>
    <row r="73" spans="1:19" x14ac:dyDescent="0.2">
      <c r="A73" s="38">
        <v>53</v>
      </c>
      <c r="B73" s="3" t="s">
        <v>72</v>
      </c>
      <c r="C73" s="3">
        <v>0</v>
      </c>
      <c r="D73" s="3">
        <v>0</v>
      </c>
      <c r="E73" s="3">
        <v>99</v>
      </c>
      <c r="F73" s="31">
        <f t="shared" si="2"/>
        <v>99</v>
      </c>
      <c r="H73" s="4">
        <v>0</v>
      </c>
      <c r="I73" s="4">
        <v>0</v>
      </c>
      <c r="J73" s="4">
        <v>61.96</v>
      </c>
      <c r="K73" s="4">
        <v>61.96</v>
      </c>
      <c r="M73" s="4">
        <v>0</v>
      </c>
      <c r="N73" s="4">
        <v>130.97812999999999</v>
      </c>
      <c r="O73" s="4">
        <v>130.97812999999999</v>
      </c>
      <c r="Q73" s="29">
        <v>0</v>
      </c>
      <c r="R73" s="29">
        <v>2219.06</v>
      </c>
      <c r="S73" s="29">
        <v>2219.06</v>
      </c>
    </row>
    <row r="74" spans="1:19" x14ac:dyDescent="0.2">
      <c r="A74" s="38">
        <v>54</v>
      </c>
      <c r="B74" s="3" t="s">
        <v>73</v>
      </c>
      <c r="C74" s="3">
        <v>0</v>
      </c>
      <c r="D74" s="3">
        <v>0</v>
      </c>
      <c r="E74" s="3">
        <v>12</v>
      </c>
      <c r="F74" s="31">
        <f t="shared" si="2"/>
        <v>12</v>
      </c>
      <c r="H74" s="4">
        <v>0</v>
      </c>
      <c r="I74" s="4">
        <v>0</v>
      </c>
      <c r="J74" s="4">
        <v>94.5</v>
      </c>
      <c r="K74" s="4">
        <v>94.5</v>
      </c>
      <c r="M74" s="4">
        <v>0</v>
      </c>
      <c r="N74" s="4">
        <v>147.91667000000001</v>
      </c>
      <c r="O74" s="4">
        <v>147.91667000000001</v>
      </c>
      <c r="Q74" s="29">
        <v>0</v>
      </c>
      <c r="R74" s="29">
        <v>1582.42</v>
      </c>
      <c r="S74" s="29">
        <v>1582.42</v>
      </c>
    </row>
    <row r="75" spans="1:19" x14ac:dyDescent="0.2">
      <c r="A75" s="38">
        <v>55</v>
      </c>
      <c r="B75" s="3" t="s">
        <v>74</v>
      </c>
      <c r="C75" s="3">
        <v>0</v>
      </c>
      <c r="D75" s="3">
        <v>0</v>
      </c>
      <c r="E75" s="3">
        <v>158</v>
      </c>
      <c r="F75" s="31">
        <f t="shared" si="2"/>
        <v>158</v>
      </c>
      <c r="H75" s="4">
        <v>0</v>
      </c>
      <c r="I75" s="4">
        <v>0</v>
      </c>
      <c r="J75" s="4">
        <v>59.19</v>
      </c>
      <c r="K75" s="4">
        <v>59.19</v>
      </c>
      <c r="M75" s="4">
        <v>0</v>
      </c>
      <c r="N75" s="4">
        <v>113.11681</v>
      </c>
      <c r="O75" s="4">
        <v>113.11681</v>
      </c>
      <c r="Q75" s="29">
        <v>0</v>
      </c>
      <c r="R75" s="29">
        <v>1906.73</v>
      </c>
      <c r="S75" s="29">
        <v>1906.73</v>
      </c>
    </row>
    <row r="76" spans="1:19" x14ac:dyDescent="0.2">
      <c r="A76" s="38">
        <v>56</v>
      </c>
      <c r="B76" s="3" t="s">
        <v>75</v>
      </c>
      <c r="C76" s="3">
        <v>0</v>
      </c>
      <c r="D76" s="3">
        <v>0</v>
      </c>
      <c r="E76" s="3">
        <v>2</v>
      </c>
      <c r="F76" s="31">
        <f t="shared" si="2"/>
        <v>2</v>
      </c>
      <c r="H76" s="4">
        <v>0</v>
      </c>
      <c r="I76" s="4">
        <v>0</v>
      </c>
      <c r="J76" s="4">
        <v>76.5</v>
      </c>
      <c r="K76" s="4">
        <v>76.5</v>
      </c>
      <c r="M76" s="4">
        <v>0</v>
      </c>
      <c r="N76" s="4">
        <v>0</v>
      </c>
      <c r="O76" s="4">
        <v>0</v>
      </c>
      <c r="Q76" s="29">
        <v>0</v>
      </c>
      <c r="R76" s="29">
        <v>0</v>
      </c>
      <c r="S76" s="29">
        <v>0</v>
      </c>
    </row>
    <row r="77" spans="1:19" x14ac:dyDescent="0.2">
      <c r="A77" s="38">
        <v>57</v>
      </c>
      <c r="B77" s="3" t="s">
        <v>76</v>
      </c>
      <c r="C77" s="3">
        <v>13</v>
      </c>
      <c r="D77" s="3">
        <v>0</v>
      </c>
      <c r="E77" s="3">
        <v>145</v>
      </c>
      <c r="F77" s="31">
        <f t="shared" si="2"/>
        <v>158</v>
      </c>
      <c r="H77" s="4">
        <v>61.25</v>
      </c>
      <c r="I77" s="4">
        <v>0</v>
      </c>
      <c r="J77" s="4">
        <v>60.42</v>
      </c>
      <c r="K77" s="4">
        <v>60.49</v>
      </c>
      <c r="M77" s="4">
        <v>233.54820999999998</v>
      </c>
      <c r="N77" s="4">
        <v>118.05865</v>
      </c>
      <c r="O77" s="4">
        <v>131.78018</v>
      </c>
      <c r="Q77" s="29">
        <v>3902.36</v>
      </c>
      <c r="R77" s="29">
        <v>2047.42</v>
      </c>
      <c r="S77" s="29">
        <v>2267.81</v>
      </c>
    </row>
    <row r="78" spans="1:19" x14ac:dyDescent="0.2">
      <c r="A78" s="38">
        <v>58</v>
      </c>
      <c r="B78" s="3" t="s">
        <v>77</v>
      </c>
      <c r="C78" s="3">
        <v>0</v>
      </c>
      <c r="D78" s="3">
        <v>0</v>
      </c>
      <c r="E78" s="3">
        <v>29</v>
      </c>
      <c r="F78" s="31">
        <f t="shared" si="2"/>
        <v>29</v>
      </c>
      <c r="H78" s="4">
        <v>0</v>
      </c>
      <c r="I78" s="4">
        <v>0</v>
      </c>
      <c r="J78" s="4">
        <v>70.63</v>
      </c>
      <c r="K78" s="4">
        <v>70.63</v>
      </c>
      <c r="M78" s="4">
        <v>0</v>
      </c>
      <c r="N78" s="4">
        <v>0</v>
      </c>
      <c r="O78" s="4">
        <v>0</v>
      </c>
      <c r="Q78" s="29">
        <v>0</v>
      </c>
      <c r="R78" s="29">
        <v>0</v>
      </c>
      <c r="S78" s="29">
        <v>0</v>
      </c>
    </row>
    <row r="79" spans="1:19" x14ac:dyDescent="0.2">
      <c r="A79" s="38">
        <v>59</v>
      </c>
      <c r="B79" s="3" t="s">
        <v>78</v>
      </c>
      <c r="C79" s="3">
        <v>11</v>
      </c>
      <c r="D79" s="3">
        <v>7</v>
      </c>
      <c r="E79" s="3">
        <v>106</v>
      </c>
      <c r="F79" s="31">
        <f t="shared" si="2"/>
        <v>124</v>
      </c>
      <c r="H79" s="4">
        <v>81.900000000000006</v>
      </c>
      <c r="I79" s="4">
        <v>78</v>
      </c>
      <c r="J79" s="4">
        <v>67.69</v>
      </c>
      <c r="K79" s="4">
        <v>69.52</v>
      </c>
      <c r="M79" s="4">
        <v>151.05376000000001</v>
      </c>
      <c r="N79" s="4">
        <v>165.93625</v>
      </c>
      <c r="O79" s="4">
        <v>164.54535999999999</v>
      </c>
      <c r="Q79" s="29">
        <v>1804.12</v>
      </c>
      <c r="R79" s="29">
        <v>2428.2600000000002</v>
      </c>
      <c r="S79" s="29">
        <v>2369.9299999999998</v>
      </c>
    </row>
    <row r="80" spans="1:19" x14ac:dyDescent="0.2">
      <c r="A80" s="38">
        <v>60</v>
      </c>
      <c r="B80" s="3" t="s">
        <v>17</v>
      </c>
      <c r="C80" s="3">
        <v>16</v>
      </c>
      <c r="D80" s="3">
        <v>0</v>
      </c>
      <c r="E80" s="3">
        <v>369</v>
      </c>
      <c r="F80" s="31">
        <f t="shared" si="2"/>
        <v>385</v>
      </c>
      <c r="H80" s="4">
        <v>87.69</v>
      </c>
      <c r="I80" s="4">
        <v>0</v>
      </c>
      <c r="J80" s="4">
        <v>74.53</v>
      </c>
      <c r="K80" s="4">
        <v>75.11</v>
      </c>
      <c r="M80" s="4">
        <v>431.78131000000002</v>
      </c>
      <c r="N80" s="4">
        <v>274.10487000000001</v>
      </c>
      <c r="O80" s="4">
        <v>283.17977000000002</v>
      </c>
      <c r="Q80" s="29">
        <v>4990.95</v>
      </c>
      <c r="R80" s="29">
        <v>3697.29</v>
      </c>
      <c r="S80" s="29">
        <v>3771.75</v>
      </c>
    </row>
    <row r="81" spans="1:19" x14ac:dyDescent="0.2">
      <c r="A81" s="38">
        <v>61</v>
      </c>
      <c r="B81" s="3" t="s">
        <v>79</v>
      </c>
      <c r="C81" s="3">
        <v>0</v>
      </c>
      <c r="D81" s="3">
        <v>0</v>
      </c>
      <c r="E81" s="3">
        <v>204</v>
      </c>
      <c r="F81" s="31">
        <f t="shared" si="2"/>
        <v>204</v>
      </c>
      <c r="H81" s="4">
        <v>0</v>
      </c>
      <c r="I81" s="4">
        <v>0</v>
      </c>
      <c r="J81" s="4">
        <v>69.959999999999994</v>
      </c>
      <c r="K81" s="4">
        <v>69.959999999999994</v>
      </c>
      <c r="M81" s="4">
        <v>0</v>
      </c>
      <c r="N81" s="4">
        <v>252.50332999999998</v>
      </c>
      <c r="O81" s="4">
        <v>252.50332999999998</v>
      </c>
      <c r="Q81" s="29">
        <v>0</v>
      </c>
      <c r="R81" s="29">
        <v>3682.89</v>
      </c>
      <c r="S81" s="29">
        <v>3682.89</v>
      </c>
    </row>
    <row r="82" spans="1:19" x14ac:dyDescent="0.2">
      <c r="A82" s="38">
        <v>62</v>
      </c>
      <c r="B82" s="3" t="s">
        <v>80</v>
      </c>
      <c r="C82" s="3">
        <v>7</v>
      </c>
      <c r="D82" s="3">
        <v>0</v>
      </c>
      <c r="E82" s="3">
        <v>115</v>
      </c>
      <c r="F82" s="31">
        <f t="shared" si="2"/>
        <v>122</v>
      </c>
      <c r="H82" s="4">
        <v>112</v>
      </c>
      <c r="I82" s="4">
        <v>0</v>
      </c>
      <c r="J82" s="4">
        <v>72.56</v>
      </c>
      <c r="K82" s="4">
        <v>74.94</v>
      </c>
      <c r="M82" s="4">
        <v>418.78928999999999</v>
      </c>
      <c r="N82" s="4">
        <v>258.33319</v>
      </c>
      <c r="O82" s="4">
        <v>270.41053000000005</v>
      </c>
      <c r="Q82" s="29">
        <v>3843.28</v>
      </c>
      <c r="R82" s="29">
        <v>3591.1</v>
      </c>
      <c r="S82" s="29">
        <v>3610.08</v>
      </c>
    </row>
    <row r="83" spans="1:19" x14ac:dyDescent="0.2">
      <c r="A83" s="38">
        <v>63</v>
      </c>
      <c r="B83" s="2" t="s">
        <v>81</v>
      </c>
      <c r="C83" s="3">
        <v>3</v>
      </c>
      <c r="D83" s="3">
        <v>0</v>
      </c>
      <c r="E83" s="3">
        <v>202</v>
      </c>
      <c r="F83" s="31">
        <f t="shared" si="2"/>
        <v>205</v>
      </c>
      <c r="H83" s="4">
        <v>83</v>
      </c>
      <c r="I83" s="4">
        <v>0</v>
      </c>
      <c r="J83" s="4">
        <v>77.42</v>
      </c>
      <c r="K83" s="4">
        <v>77.48</v>
      </c>
      <c r="M83" s="4">
        <v>413</v>
      </c>
      <c r="N83" s="4">
        <v>314.78026</v>
      </c>
      <c r="O83" s="4">
        <v>316.01572999999996</v>
      </c>
      <c r="Q83" s="29">
        <v>4988.95</v>
      </c>
      <c r="R83" s="29">
        <v>4022.2</v>
      </c>
      <c r="S83" s="29">
        <v>4034.36</v>
      </c>
    </row>
    <row r="84" spans="1:19" x14ac:dyDescent="0.2">
      <c r="A84" s="38">
        <v>64</v>
      </c>
      <c r="B84" s="2" t="s">
        <v>82</v>
      </c>
      <c r="C84" s="3">
        <v>2</v>
      </c>
      <c r="D84" s="3">
        <v>0</v>
      </c>
      <c r="E84" s="3">
        <v>296</v>
      </c>
      <c r="F84" s="31">
        <f t="shared" si="2"/>
        <v>298</v>
      </c>
      <c r="H84" s="4">
        <v>62</v>
      </c>
      <c r="I84" s="4">
        <v>0</v>
      </c>
      <c r="J84" s="4">
        <v>73.11</v>
      </c>
      <c r="K84" s="4">
        <v>73.03</v>
      </c>
      <c r="M84" s="4">
        <v>0</v>
      </c>
      <c r="N84" s="4">
        <v>295.39201000000003</v>
      </c>
      <c r="O84" s="4">
        <v>295.59878999999995</v>
      </c>
      <c r="Q84" s="29">
        <v>0</v>
      </c>
      <c r="R84" s="29">
        <v>4128.59</v>
      </c>
      <c r="S84" s="29">
        <v>4136.29</v>
      </c>
    </row>
    <row r="85" spans="1:19" x14ac:dyDescent="0.2">
      <c r="A85" s="38">
        <v>65</v>
      </c>
      <c r="B85" s="2" t="s">
        <v>83</v>
      </c>
      <c r="C85" s="3">
        <v>12</v>
      </c>
      <c r="D85" s="3">
        <v>0</v>
      </c>
      <c r="E85" s="3">
        <v>191</v>
      </c>
      <c r="F85" s="31">
        <f t="shared" ref="F85:F93" si="3">SUM(C85:E85)</f>
        <v>203</v>
      </c>
      <c r="H85" s="4">
        <v>60</v>
      </c>
      <c r="I85" s="4">
        <v>0</v>
      </c>
      <c r="J85" s="4">
        <v>71.05</v>
      </c>
      <c r="K85" s="4">
        <v>70.33</v>
      </c>
      <c r="M85" s="4">
        <v>259.91667000000001</v>
      </c>
      <c r="N85" s="4">
        <v>282.19459000000001</v>
      </c>
      <c r="O85" s="4">
        <v>279.54771</v>
      </c>
      <c r="Q85" s="29">
        <v>4315.03</v>
      </c>
      <c r="R85" s="29">
        <v>4164.2700000000004</v>
      </c>
      <c r="S85" s="29">
        <v>4182.18</v>
      </c>
    </row>
    <row r="86" spans="1:19" x14ac:dyDescent="0.2">
      <c r="A86" s="38">
        <v>66</v>
      </c>
      <c r="B86" s="2" t="s">
        <v>84</v>
      </c>
      <c r="C86" s="3">
        <v>13</v>
      </c>
      <c r="D86" s="3">
        <v>2</v>
      </c>
      <c r="E86" s="3">
        <v>130</v>
      </c>
      <c r="F86" s="31">
        <f t="shared" si="3"/>
        <v>145</v>
      </c>
      <c r="H86" s="4">
        <v>102.73</v>
      </c>
      <c r="I86" s="4">
        <v>53</v>
      </c>
      <c r="J86" s="4">
        <v>74.66</v>
      </c>
      <c r="K86" s="4">
        <v>76.66</v>
      </c>
      <c r="M86" s="4">
        <v>664.6</v>
      </c>
      <c r="N86" s="4">
        <v>361.02512999999999</v>
      </c>
      <c r="O86" s="4">
        <v>387.31902000000002</v>
      </c>
      <c r="Q86" s="29">
        <v>6292.9</v>
      </c>
      <c r="R86" s="29">
        <v>4857.2299999999996</v>
      </c>
      <c r="S86" s="29">
        <v>4981.58</v>
      </c>
    </row>
    <row r="87" spans="1:19" x14ac:dyDescent="0.2">
      <c r="A87" s="38">
        <v>67</v>
      </c>
      <c r="B87" s="2" t="s">
        <v>85</v>
      </c>
      <c r="C87" s="3">
        <v>1</v>
      </c>
      <c r="D87" s="3">
        <v>0</v>
      </c>
      <c r="E87" s="3">
        <v>58</v>
      </c>
      <c r="F87" s="31">
        <f t="shared" si="3"/>
        <v>59</v>
      </c>
      <c r="H87" s="4">
        <v>85</v>
      </c>
      <c r="I87" s="4">
        <v>0</v>
      </c>
      <c r="J87" s="4">
        <v>100.47</v>
      </c>
      <c r="K87" s="4">
        <v>100.19</v>
      </c>
      <c r="M87" s="4">
        <v>0</v>
      </c>
      <c r="N87" s="4">
        <v>557.77418999999998</v>
      </c>
      <c r="O87" s="4">
        <v>549.95679000000007</v>
      </c>
      <c r="Q87" s="29">
        <v>0</v>
      </c>
      <c r="R87" s="29">
        <v>5656.96</v>
      </c>
      <c r="S87" s="29">
        <v>5581.15</v>
      </c>
    </row>
    <row r="88" spans="1:19" x14ac:dyDescent="0.2">
      <c r="A88" s="38">
        <v>68</v>
      </c>
      <c r="B88" s="2" t="s">
        <v>86</v>
      </c>
      <c r="C88" s="3">
        <v>66</v>
      </c>
      <c r="D88" s="3">
        <v>24</v>
      </c>
      <c r="E88" s="3">
        <v>286</v>
      </c>
      <c r="F88" s="31">
        <f t="shared" si="3"/>
        <v>376</v>
      </c>
      <c r="H88" s="4">
        <v>63.45</v>
      </c>
      <c r="I88" s="4">
        <v>57.5</v>
      </c>
      <c r="J88" s="4">
        <v>76.11</v>
      </c>
      <c r="K88" s="4">
        <v>72.75</v>
      </c>
      <c r="M88" s="4">
        <v>418.65323999999998</v>
      </c>
      <c r="N88" s="4">
        <v>381.70021999999994</v>
      </c>
      <c r="O88" s="4">
        <v>388.81540000000001</v>
      </c>
      <c r="Q88" s="29">
        <v>6607.79</v>
      </c>
      <c r="R88" s="29">
        <v>5069.78</v>
      </c>
      <c r="S88" s="29">
        <v>5365.92</v>
      </c>
    </row>
    <row r="89" spans="1:19" x14ac:dyDescent="0.2">
      <c r="A89" s="38">
        <v>69</v>
      </c>
      <c r="B89" s="2" t="s">
        <v>87</v>
      </c>
      <c r="C89" s="3">
        <v>61</v>
      </c>
      <c r="D89" s="3">
        <v>3</v>
      </c>
      <c r="E89" s="3">
        <v>126</v>
      </c>
      <c r="F89" s="31">
        <f t="shared" si="3"/>
        <v>190</v>
      </c>
      <c r="H89" s="4">
        <v>67.59</v>
      </c>
      <c r="I89" s="4">
        <v>69.33</v>
      </c>
      <c r="J89" s="4">
        <v>99.73</v>
      </c>
      <c r="K89" s="4">
        <v>88.75</v>
      </c>
      <c r="M89" s="4">
        <v>422.64307000000002</v>
      </c>
      <c r="N89" s="4">
        <v>656.88185999999996</v>
      </c>
      <c r="O89" s="4">
        <v>574.61943000000008</v>
      </c>
      <c r="Q89" s="29">
        <v>6269.12</v>
      </c>
      <c r="R89" s="29">
        <v>6428.66</v>
      </c>
      <c r="S89" s="29">
        <v>6372.63</v>
      </c>
    </row>
    <row r="90" spans="1:19" x14ac:dyDescent="0.2">
      <c r="A90" s="38">
        <v>70</v>
      </c>
      <c r="B90" s="2" t="s">
        <v>88</v>
      </c>
      <c r="C90" s="3">
        <v>25</v>
      </c>
      <c r="D90" s="3">
        <v>2</v>
      </c>
      <c r="E90" s="3">
        <v>243</v>
      </c>
      <c r="F90" s="31">
        <f t="shared" si="3"/>
        <v>270</v>
      </c>
      <c r="H90" s="4">
        <v>81.67</v>
      </c>
      <c r="I90" s="4">
        <v>71.5</v>
      </c>
      <c r="J90" s="4">
        <v>61.41</v>
      </c>
      <c r="K90" s="4">
        <v>63.31</v>
      </c>
      <c r="M90" s="4">
        <v>388.47629000000001</v>
      </c>
      <c r="N90" s="4">
        <v>164.19989999999999</v>
      </c>
      <c r="O90" s="4">
        <v>187.06303</v>
      </c>
      <c r="Q90" s="29">
        <v>3386.61</v>
      </c>
      <c r="R90" s="29">
        <v>2388.4699999999998</v>
      </c>
      <c r="S90" s="29">
        <v>2490.2199999999998</v>
      </c>
    </row>
    <row r="91" spans="1:19" x14ac:dyDescent="0.2">
      <c r="A91" s="38">
        <v>71</v>
      </c>
      <c r="B91" s="2" t="s">
        <v>89</v>
      </c>
      <c r="C91" s="3">
        <v>19</v>
      </c>
      <c r="D91" s="3">
        <v>10</v>
      </c>
      <c r="E91" s="3">
        <v>119</v>
      </c>
      <c r="F91" s="31">
        <f t="shared" si="3"/>
        <v>148</v>
      </c>
      <c r="H91" s="4">
        <v>65.78</v>
      </c>
      <c r="I91" s="4">
        <v>64.44</v>
      </c>
      <c r="J91" s="4">
        <v>74.25</v>
      </c>
      <c r="K91" s="4">
        <v>72.48</v>
      </c>
      <c r="M91" s="4">
        <v>234.02778000000001</v>
      </c>
      <c r="N91" s="4">
        <v>318.03185999999999</v>
      </c>
      <c r="O91" s="4">
        <v>304.03118000000001</v>
      </c>
      <c r="Q91" s="29">
        <v>3572.82</v>
      </c>
      <c r="R91" s="29">
        <v>4287.72</v>
      </c>
      <c r="S91" s="29">
        <v>4168.57</v>
      </c>
    </row>
    <row r="92" spans="1:19" x14ac:dyDescent="0.2">
      <c r="A92" s="38">
        <v>72</v>
      </c>
      <c r="B92" s="2" t="s">
        <v>90</v>
      </c>
      <c r="C92" s="3">
        <v>1</v>
      </c>
      <c r="D92" s="3">
        <v>0</v>
      </c>
      <c r="E92" s="3">
        <v>191</v>
      </c>
      <c r="F92" s="31">
        <f t="shared" si="3"/>
        <v>192</v>
      </c>
      <c r="H92" s="4">
        <v>42</v>
      </c>
      <c r="I92" s="4">
        <v>0</v>
      </c>
      <c r="J92" s="4">
        <v>70.28</v>
      </c>
      <c r="K92" s="4">
        <v>70.12</v>
      </c>
      <c r="M92" s="4">
        <v>0</v>
      </c>
      <c r="N92" s="4">
        <v>223.54007000000001</v>
      </c>
      <c r="O92" s="4">
        <v>222.90544</v>
      </c>
      <c r="Q92" s="29">
        <v>0</v>
      </c>
      <c r="R92" s="29">
        <v>3224.17</v>
      </c>
      <c r="S92" s="29">
        <v>3228.49</v>
      </c>
    </row>
    <row r="93" spans="1:19" x14ac:dyDescent="0.2">
      <c r="A93" s="40">
        <v>73</v>
      </c>
      <c r="B93" s="26" t="s">
        <v>91</v>
      </c>
      <c r="C93" s="25">
        <v>4</v>
      </c>
      <c r="D93" s="25">
        <v>1</v>
      </c>
      <c r="E93" s="25">
        <v>249</v>
      </c>
      <c r="F93" s="30">
        <f t="shared" si="3"/>
        <v>254</v>
      </c>
      <c r="G93" s="26"/>
      <c r="H93" s="27">
        <v>60.25</v>
      </c>
      <c r="I93" s="27">
        <v>85</v>
      </c>
      <c r="J93" s="27">
        <v>71.510000000000005</v>
      </c>
      <c r="K93" s="27">
        <v>71.38</v>
      </c>
      <c r="L93" s="27"/>
      <c r="M93" s="27">
        <v>222.5</v>
      </c>
      <c r="N93" s="27">
        <v>211.84530999999998</v>
      </c>
      <c r="O93" s="27">
        <v>212.12206</v>
      </c>
      <c r="P93" s="27"/>
      <c r="Q93" s="35">
        <v>3746.5</v>
      </c>
      <c r="R93" s="35">
        <v>3001.03</v>
      </c>
      <c r="S93" s="35">
        <v>3020.39</v>
      </c>
    </row>
    <row r="95" spans="1:19" x14ac:dyDescent="0.2">
      <c r="B95" s="39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A760-DDC4-48A3-88E0-303B51E2BCB9}">
  <dimension ref="A1:S95"/>
  <sheetViews>
    <sheetView workbookViewId="0"/>
  </sheetViews>
  <sheetFormatPr defaultColWidth="11.42578125" defaultRowHeight="12" x14ac:dyDescent="0.2"/>
  <cols>
    <col min="1" max="1" width="4.85546875" style="2" customWidth="1"/>
    <col min="2" max="2" width="35.7109375" style="2" customWidth="1"/>
    <col min="3" max="6" width="10.7109375" style="3" customWidth="1"/>
    <col min="7" max="7" width="2.7109375" style="2" customWidth="1"/>
    <col min="8" max="11" width="10.7109375" style="4" customWidth="1"/>
    <col min="12" max="12" width="2.7109375" style="4" customWidth="1"/>
    <col min="13" max="15" width="10.7109375" style="4" customWidth="1"/>
    <col min="16" max="16" width="2.7109375" style="4" customWidth="1"/>
    <col min="17" max="19" width="10.7109375" style="4" customWidth="1"/>
    <col min="20" max="16384" width="11.42578125" style="2"/>
  </cols>
  <sheetData>
    <row r="1" spans="1:19" ht="15" x14ac:dyDescent="0.25">
      <c r="A1" s="1" t="s">
        <v>0</v>
      </c>
    </row>
    <row r="2" spans="1:19" ht="12.75" x14ac:dyDescent="0.2">
      <c r="A2" s="5" t="s">
        <v>100</v>
      </c>
    </row>
    <row r="3" spans="1:19" x14ac:dyDescent="0.2">
      <c r="A3" s="2" t="s">
        <v>97</v>
      </c>
    </row>
    <row r="4" spans="1:19" ht="13.5" x14ac:dyDescent="0.2">
      <c r="C4" s="6" t="s">
        <v>1</v>
      </c>
      <c r="D4" s="7"/>
      <c r="E4" s="7"/>
      <c r="F4" s="7"/>
      <c r="H4" s="8" t="s">
        <v>96</v>
      </c>
      <c r="I4" s="9"/>
      <c r="J4" s="9"/>
      <c r="K4" s="9"/>
      <c r="M4" s="8" t="s">
        <v>92</v>
      </c>
      <c r="N4" s="8"/>
      <c r="O4" s="8"/>
      <c r="Q4" s="8" t="s">
        <v>93</v>
      </c>
      <c r="R4" s="8"/>
      <c r="S4" s="8"/>
    </row>
    <row r="5" spans="1:19" s="15" customFormat="1" ht="24" x14ac:dyDescent="0.2">
      <c r="A5" s="10" t="s">
        <v>2</v>
      </c>
      <c r="B5" s="10"/>
      <c r="C5" s="11" t="s">
        <v>3</v>
      </c>
      <c r="D5" s="11" t="s">
        <v>4</v>
      </c>
      <c r="E5" s="11" t="s">
        <v>5</v>
      </c>
      <c r="F5" s="11" t="s">
        <v>6</v>
      </c>
      <c r="G5" s="12"/>
      <c r="H5" s="13" t="s">
        <v>3</v>
      </c>
      <c r="I5" s="13" t="s">
        <v>4</v>
      </c>
      <c r="J5" s="13" t="s">
        <v>5</v>
      </c>
      <c r="K5" s="13" t="s">
        <v>6</v>
      </c>
      <c r="L5" s="14"/>
      <c r="M5" s="13" t="s">
        <v>7</v>
      </c>
      <c r="N5" s="13" t="s">
        <v>5</v>
      </c>
      <c r="O5" s="13" t="s">
        <v>6</v>
      </c>
      <c r="P5" s="14"/>
      <c r="Q5" s="13" t="s">
        <v>7</v>
      </c>
      <c r="R5" s="13" t="s">
        <v>5</v>
      </c>
      <c r="S5" s="13" t="s">
        <v>6</v>
      </c>
    </row>
    <row r="6" spans="1:19" s="15" customFormat="1" x14ac:dyDescent="0.2">
      <c r="B6" s="36" t="s">
        <v>94</v>
      </c>
      <c r="C6" s="3">
        <v>1423</v>
      </c>
      <c r="D6" s="3">
        <v>89</v>
      </c>
      <c r="E6" s="3">
        <v>13194</v>
      </c>
      <c r="F6" s="3">
        <v>14706</v>
      </c>
      <c r="G6" s="2"/>
      <c r="H6" s="4">
        <v>85.48</v>
      </c>
      <c r="I6" s="4">
        <v>66.55</v>
      </c>
      <c r="J6" s="4">
        <v>79.569999999999993</v>
      </c>
      <c r="K6" s="4">
        <v>80.069999999999993</v>
      </c>
      <c r="L6" s="2"/>
      <c r="M6" s="4">
        <v>469.45590000000004</v>
      </c>
      <c r="N6" s="4">
        <v>369.73201</v>
      </c>
      <c r="O6" s="4">
        <v>381.03853000000004</v>
      </c>
      <c r="P6" s="4"/>
      <c r="Q6" s="29">
        <v>5226.24</v>
      </c>
      <c r="R6" s="29">
        <v>4367.8900000000003</v>
      </c>
      <c r="S6" s="29">
        <v>4465.21</v>
      </c>
    </row>
    <row r="7" spans="1:19" s="15" customFormat="1" x14ac:dyDescent="0.2">
      <c r="C7" s="31"/>
      <c r="D7" s="31"/>
      <c r="E7" s="31"/>
      <c r="F7" s="31"/>
      <c r="H7" s="32"/>
      <c r="I7" s="32"/>
      <c r="J7" s="32"/>
      <c r="K7" s="32"/>
      <c r="L7" s="33"/>
      <c r="M7" s="32"/>
      <c r="N7" s="32"/>
      <c r="O7" s="32"/>
      <c r="P7" s="33"/>
      <c r="Q7" s="34"/>
      <c r="R7" s="34"/>
      <c r="S7" s="34"/>
    </row>
    <row r="8" spans="1:19" s="15" customFormat="1" x14ac:dyDescent="0.2">
      <c r="B8" s="37" t="s">
        <v>8</v>
      </c>
      <c r="C8" s="31"/>
      <c r="D8" s="31"/>
      <c r="E8" s="31"/>
      <c r="F8" s="31"/>
      <c r="H8" s="32"/>
      <c r="I8" s="32"/>
      <c r="J8" s="32"/>
      <c r="K8" s="32"/>
      <c r="L8" s="33"/>
      <c r="M8" s="32"/>
      <c r="N8" s="32"/>
      <c r="O8" s="32"/>
      <c r="P8" s="33"/>
      <c r="Q8" s="34"/>
      <c r="R8" s="34"/>
      <c r="S8" s="34"/>
    </row>
    <row r="9" spans="1:19" s="15" customFormat="1" x14ac:dyDescent="0.2">
      <c r="A9" s="38">
        <v>1</v>
      </c>
      <c r="B9" s="15" t="s">
        <v>9</v>
      </c>
      <c r="C9" s="31">
        <v>126</v>
      </c>
      <c r="D9" s="31">
        <v>0</v>
      </c>
      <c r="E9" s="31">
        <v>1213</v>
      </c>
      <c r="F9" s="31">
        <f t="shared" ref="F9:F18" si="0">SUM(C9:E9)</f>
        <v>1339</v>
      </c>
      <c r="H9" s="32">
        <v>69.78</v>
      </c>
      <c r="I9" s="32">
        <v>0</v>
      </c>
      <c r="J9" s="32">
        <v>66.72</v>
      </c>
      <c r="K9" s="32">
        <v>67.010000000000005</v>
      </c>
      <c r="L9" s="33"/>
      <c r="M9" s="32">
        <v>359.25264000000004</v>
      </c>
      <c r="N9" s="32">
        <v>279.25281000000001</v>
      </c>
      <c r="O9" s="32">
        <v>286.85866999999996</v>
      </c>
      <c r="P9" s="33"/>
      <c r="Q9" s="34">
        <v>5273.67</v>
      </c>
      <c r="R9" s="34">
        <v>4134.96</v>
      </c>
      <c r="S9" s="34">
        <v>4243.2299999999996</v>
      </c>
    </row>
    <row r="10" spans="1:19" s="15" customFormat="1" x14ac:dyDescent="0.2">
      <c r="A10" s="38">
        <v>2</v>
      </c>
      <c r="B10" s="15" t="s">
        <v>10</v>
      </c>
      <c r="C10" s="31">
        <v>281</v>
      </c>
      <c r="D10" s="31">
        <v>16</v>
      </c>
      <c r="E10" s="31">
        <v>2153</v>
      </c>
      <c r="F10" s="31">
        <f t="shared" si="0"/>
        <v>2450</v>
      </c>
      <c r="H10" s="32">
        <v>97.38</v>
      </c>
      <c r="I10" s="32">
        <v>78.55</v>
      </c>
      <c r="J10" s="32">
        <v>91.01</v>
      </c>
      <c r="K10" s="32">
        <v>91.66</v>
      </c>
      <c r="L10" s="33"/>
      <c r="M10" s="32">
        <v>629.85113999999999</v>
      </c>
      <c r="N10" s="32">
        <v>478.32841999999999</v>
      </c>
      <c r="O10" s="32">
        <v>495.98435999999998</v>
      </c>
      <c r="P10" s="33"/>
      <c r="Q10" s="34">
        <v>6180.5</v>
      </c>
      <c r="R10" s="34">
        <v>5253.43</v>
      </c>
      <c r="S10" s="34">
        <v>5361.46</v>
      </c>
    </row>
    <row r="11" spans="1:19" s="15" customFormat="1" x14ac:dyDescent="0.2">
      <c r="A11" s="38">
        <v>3</v>
      </c>
      <c r="B11" s="15" t="s">
        <v>11</v>
      </c>
      <c r="C11" s="31">
        <v>159</v>
      </c>
      <c r="D11" s="31">
        <v>4</v>
      </c>
      <c r="E11" s="31">
        <v>1584</v>
      </c>
      <c r="F11" s="31">
        <f t="shared" si="0"/>
        <v>1747</v>
      </c>
      <c r="H11" s="32">
        <v>75.81</v>
      </c>
      <c r="I11" s="32">
        <v>56.75</v>
      </c>
      <c r="J11" s="32">
        <v>68.27</v>
      </c>
      <c r="K11" s="32">
        <v>68.959999999999994</v>
      </c>
      <c r="L11" s="33"/>
      <c r="M11" s="32">
        <v>311.72127</v>
      </c>
      <c r="N11" s="32">
        <v>262.55746000000005</v>
      </c>
      <c r="O11" s="32">
        <v>268.31502</v>
      </c>
      <c r="P11" s="33"/>
      <c r="Q11" s="34">
        <v>4246.41</v>
      </c>
      <c r="R11" s="34">
        <v>3895.33</v>
      </c>
      <c r="S11" s="34">
        <v>3936.45</v>
      </c>
    </row>
    <row r="12" spans="1:19" s="15" customFormat="1" x14ac:dyDescent="0.2">
      <c r="A12" s="38">
        <v>4</v>
      </c>
      <c r="B12" s="15" t="s">
        <v>12</v>
      </c>
      <c r="C12" s="31">
        <v>17</v>
      </c>
      <c r="D12" s="31">
        <v>1</v>
      </c>
      <c r="E12" s="31">
        <v>553</v>
      </c>
      <c r="F12" s="31">
        <f t="shared" si="0"/>
        <v>571</v>
      </c>
      <c r="H12" s="32">
        <v>93.47</v>
      </c>
      <c r="I12" s="32">
        <v>0</v>
      </c>
      <c r="J12" s="32">
        <v>96.01</v>
      </c>
      <c r="K12" s="32">
        <v>95.93</v>
      </c>
      <c r="L12" s="33"/>
      <c r="M12" s="32">
        <v>576.13333</v>
      </c>
      <c r="N12" s="32">
        <v>559.67908999999997</v>
      </c>
      <c r="O12" s="32">
        <v>560.26396</v>
      </c>
      <c r="P12" s="33"/>
      <c r="Q12" s="34">
        <v>6207.49</v>
      </c>
      <c r="R12" s="34">
        <v>5364.01</v>
      </c>
      <c r="S12" s="34">
        <v>5393.99</v>
      </c>
    </row>
    <row r="13" spans="1:19" s="15" customFormat="1" x14ac:dyDescent="0.2">
      <c r="A13" s="38">
        <v>5</v>
      </c>
      <c r="B13" s="15" t="s">
        <v>13</v>
      </c>
      <c r="C13" s="31">
        <v>155</v>
      </c>
      <c r="D13" s="31">
        <v>0</v>
      </c>
      <c r="E13" s="31">
        <v>1033</v>
      </c>
      <c r="F13" s="31">
        <f t="shared" si="0"/>
        <v>1188</v>
      </c>
      <c r="H13" s="32">
        <v>115.28</v>
      </c>
      <c r="I13" s="32">
        <v>0</v>
      </c>
      <c r="J13" s="32">
        <v>130.26</v>
      </c>
      <c r="K13" s="32">
        <v>128.35</v>
      </c>
      <c r="L13" s="33"/>
      <c r="M13" s="32">
        <v>827.35662000000002</v>
      </c>
      <c r="N13" s="32">
        <v>769.71510999999998</v>
      </c>
      <c r="O13" s="32">
        <v>777.29214000000002</v>
      </c>
      <c r="P13" s="33"/>
      <c r="Q13" s="34">
        <v>7254.17</v>
      </c>
      <c r="R13" s="34">
        <v>5965.71</v>
      </c>
      <c r="S13" s="34">
        <v>6135.08</v>
      </c>
    </row>
    <row r="14" spans="1:19" s="15" customFormat="1" x14ac:dyDescent="0.2">
      <c r="A14" s="38">
        <v>6</v>
      </c>
      <c r="B14" s="15" t="s">
        <v>14</v>
      </c>
      <c r="C14" s="31">
        <v>103</v>
      </c>
      <c r="D14" s="31">
        <v>0</v>
      </c>
      <c r="E14" s="31">
        <v>972</v>
      </c>
      <c r="F14" s="31">
        <f t="shared" si="0"/>
        <v>1075</v>
      </c>
      <c r="H14" s="32">
        <v>101.13</v>
      </c>
      <c r="I14" s="32">
        <v>0</v>
      </c>
      <c r="J14" s="32">
        <v>79.02</v>
      </c>
      <c r="K14" s="32">
        <v>81.12</v>
      </c>
      <c r="L14" s="33"/>
      <c r="M14" s="32">
        <v>600.39667000000009</v>
      </c>
      <c r="N14" s="32">
        <v>368.83593999999999</v>
      </c>
      <c r="O14" s="32">
        <v>391.08299</v>
      </c>
      <c r="P14" s="33"/>
      <c r="Q14" s="34">
        <v>5545.86</v>
      </c>
      <c r="R14" s="34">
        <v>4767.82</v>
      </c>
      <c r="S14" s="34">
        <v>4842.57</v>
      </c>
    </row>
    <row r="15" spans="1:19" s="15" customFormat="1" x14ac:dyDescent="0.2">
      <c r="A15" s="38">
        <v>7</v>
      </c>
      <c r="B15" s="15" t="s">
        <v>15</v>
      </c>
      <c r="C15" s="31">
        <v>307</v>
      </c>
      <c r="D15" s="31">
        <v>13</v>
      </c>
      <c r="E15" s="31">
        <v>1209</v>
      </c>
      <c r="F15" s="31">
        <f t="shared" si="0"/>
        <v>1529</v>
      </c>
      <c r="H15" s="32">
        <v>76.64</v>
      </c>
      <c r="I15" s="32">
        <v>69.83</v>
      </c>
      <c r="J15" s="32">
        <v>68.72</v>
      </c>
      <c r="K15" s="32">
        <v>70.37</v>
      </c>
      <c r="L15" s="33"/>
      <c r="M15" s="32">
        <v>301.92483000000004</v>
      </c>
      <c r="N15" s="32">
        <v>233.51376000000002</v>
      </c>
      <c r="O15" s="32">
        <v>248.39708999999999</v>
      </c>
      <c r="P15" s="33"/>
      <c r="Q15" s="34">
        <v>3882.85</v>
      </c>
      <c r="R15" s="34">
        <v>3456.29</v>
      </c>
      <c r="S15" s="34">
        <v>3549.09</v>
      </c>
    </row>
    <row r="16" spans="1:19" s="15" customFormat="1" x14ac:dyDescent="0.2">
      <c r="A16" s="38">
        <v>8</v>
      </c>
      <c r="B16" s="15" t="s">
        <v>16</v>
      </c>
      <c r="C16" s="31">
        <v>14</v>
      </c>
      <c r="D16" s="31">
        <v>1</v>
      </c>
      <c r="E16" s="31">
        <v>1404</v>
      </c>
      <c r="F16" s="31">
        <f t="shared" si="0"/>
        <v>1419</v>
      </c>
      <c r="H16" s="32">
        <v>55</v>
      </c>
      <c r="I16" s="32">
        <v>74</v>
      </c>
      <c r="J16" s="32">
        <v>63.95</v>
      </c>
      <c r="K16" s="32">
        <v>63.89</v>
      </c>
      <c r="L16" s="33"/>
      <c r="M16" s="32">
        <v>231.04444000000001</v>
      </c>
      <c r="N16" s="32">
        <v>182.05598999999998</v>
      </c>
      <c r="O16" s="32">
        <v>182.65019000000001</v>
      </c>
      <c r="P16" s="33"/>
      <c r="Q16" s="34">
        <v>4289.21</v>
      </c>
      <c r="R16" s="34">
        <v>2798.73</v>
      </c>
      <c r="S16" s="34">
        <v>2816.81</v>
      </c>
    </row>
    <row r="17" spans="1:19" s="15" customFormat="1" x14ac:dyDescent="0.2">
      <c r="A17" s="38">
        <v>9</v>
      </c>
      <c r="B17" s="15" t="s">
        <v>17</v>
      </c>
      <c r="C17" s="31">
        <v>56</v>
      </c>
      <c r="D17" s="31">
        <v>7</v>
      </c>
      <c r="E17" s="31">
        <v>1179</v>
      </c>
      <c r="F17" s="31">
        <f t="shared" si="0"/>
        <v>1242</v>
      </c>
      <c r="H17" s="32">
        <v>77.92</v>
      </c>
      <c r="I17" s="32">
        <v>78.290000000000006</v>
      </c>
      <c r="J17" s="32">
        <v>71.8</v>
      </c>
      <c r="K17" s="32">
        <v>72.12</v>
      </c>
      <c r="L17" s="33"/>
      <c r="M17" s="32">
        <v>297.19115999999997</v>
      </c>
      <c r="N17" s="32">
        <v>253.71316000000002</v>
      </c>
      <c r="O17" s="32">
        <v>256.68266</v>
      </c>
      <c r="P17" s="33"/>
      <c r="Q17" s="34">
        <v>3801.13</v>
      </c>
      <c r="R17" s="34">
        <v>3450.39</v>
      </c>
      <c r="S17" s="34">
        <v>3474.34</v>
      </c>
    </row>
    <row r="18" spans="1:19" s="15" customFormat="1" x14ac:dyDescent="0.2">
      <c r="A18" s="38">
        <v>10</v>
      </c>
      <c r="B18" s="15" t="s">
        <v>18</v>
      </c>
      <c r="C18" s="31">
        <v>185</v>
      </c>
      <c r="D18" s="31">
        <v>47</v>
      </c>
      <c r="E18" s="31">
        <v>1809</v>
      </c>
      <c r="F18" s="31">
        <f t="shared" si="0"/>
        <v>2041</v>
      </c>
      <c r="H18" s="32">
        <v>74.02</v>
      </c>
      <c r="I18" s="32">
        <v>61.4</v>
      </c>
      <c r="J18" s="32">
        <v>74.66</v>
      </c>
      <c r="K18" s="32">
        <v>74.3</v>
      </c>
      <c r="L18" s="33"/>
      <c r="M18" s="32">
        <v>427.49313000000001</v>
      </c>
      <c r="N18" s="32">
        <v>324.52641999999997</v>
      </c>
      <c r="O18" s="32">
        <v>336.75202000000002</v>
      </c>
      <c r="P18" s="33"/>
      <c r="Q18" s="34">
        <v>5457.3</v>
      </c>
      <c r="R18" s="34">
        <v>4148.01</v>
      </c>
      <c r="S18" s="34">
        <v>4303.47</v>
      </c>
    </row>
    <row r="19" spans="1:19" s="15" customFormat="1" x14ac:dyDescent="0.2">
      <c r="A19" s="38"/>
      <c r="C19" s="31"/>
      <c r="D19" s="31"/>
      <c r="E19" s="31"/>
      <c r="F19" s="31"/>
      <c r="H19" s="32"/>
      <c r="I19" s="32"/>
      <c r="J19" s="32"/>
      <c r="K19" s="32"/>
      <c r="L19" s="33"/>
      <c r="M19" s="32"/>
      <c r="N19" s="32"/>
      <c r="O19" s="32"/>
      <c r="P19" s="33"/>
      <c r="Q19" s="34"/>
      <c r="R19" s="34"/>
      <c r="S19" s="34"/>
    </row>
    <row r="20" spans="1:19" s="15" customFormat="1" x14ac:dyDescent="0.2">
      <c r="A20" s="38"/>
      <c r="B20" s="37" t="s">
        <v>19</v>
      </c>
      <c r="C20" s="31"/>
      <c r="D20" s="31"/>
      <c r="E20" s="31"/>
      <c r="F20" s="31"/>
      <c r="H20" s="32"/>
      <c r="I20" s="32"/>
      <c r="J20" s="32"/>
      <c r="K20" s="32"/>
      <c r="L20" s="33"/>
      <c r="M20" s="32"/>
      <c r="N20" s="32"/>
      <c r="O20" s="32"/>
      <c r="P20" s="33"/>
      <c r="Q20" s="34"/>
      <c r="R20" s="34"/>
      <c r="S20" s="34"/>
    </row>
    <row r="21" spans="1:19" x14ac:dyDescent="0.2">
      <c r="A21" s="38">
        <v>1</v>
      </c>
      <c r="B21" s="3" t="s">
        <v>20</v>
      </c>
      <c r="C21" s="3">
        <v>17</v>
      </c>
      <c r="D21" s="3">
        <v>0</v>
      </c>
      <c r="E21" s="3">
        <v>505</v>
      </c>
      <c r="F21" s="31">
        <f t="shared" ref="F21:F84" si="1">SUM(C21:E21)</f>
        <v>522</v>
      </c>
      <c r="H21" s="4">
        <v>76.930000000000007</v>
      </c>
      <c r="I21" s="4">
        <v>0</v>
      </c>
      <c r="J21" s="4">
        <v>61.4</v>
      </c>
      <c r="K21" s="4">
        <v>61.9</v>
      </c>
      <c r="M21" s="4">
        <v>403.94463999999999</v>
      </c>
      <c r="N21" s="4">
        <v>191.08759000000001</v>
      </c>
      <c r="O21" s="4">
        <v>198.00173999999998</v>
      </c>
      <c r="Q21" s="29">
        <v>5838.2</v>
      </c>
      <c r="R21" s="29">
        <v>3096.34</v>
      </c>
      <c r="S21" s="29">
        <v>3185.4</v>
      </c>
    </row>
    <row r="22" spans="1:19" x14ac:dyDescent="0.2">
      <c r="A22" s="38">
        <v>2</v>
      </c>
      <c r="B22" s="3" t="s">
        <v>21</v>
      </c>
      <c r="C22" s="3">
        <v>51</v>
      </c>
      <c r="D22" s="3">
        <v>0</v>
      </c>
      <c r="E22" s="3">
        <v>220</v>
      </c>
      <c r="F22" s="31">
        <f t="shared" si="1"/>
        <v>271</v>
      </c>
      <c r="H22" s="4">
        <v>85.68</v>
      </c>
      <c r="I22" s="4">
        <v>0</v>
      </c>
      <c r="J22" s="4">
        <v>90.84</v>
      </c>
      <c r="K22" s="4">
        <v>89.97</v>
      </c>
      <c r="M22" s="4">
        <v>459.63052000000005</v>
      </c>
      <c r="N22" s="4">
        <v>458.12184000000002</v>
      </c>
      <c r="O22" s="4">
        <v>458.37646999999998</v>
      </c>
      <c r="Q22" s="29">
        <v>5268.3</v>
      </c>
      <c r="R22" s="29">
        <v>4680.7700000000004</v>
      </c>
      <c r="S22" s="29">
        <v>4779.93</v>
      </c>
    </row>
    <row r="23" spans="1:19" x14ac:dyDescent="0.2">
      <c r="A23" s="38">
        <v>3</v>
      </c>
      <c r="B23" s="3" t="s">
        <v>22</v>
      </c>
      <c r="C23" s="3">
        <v>31</v>
      </c>
      <c r="D23" s="3">
        <v>0</v>
      </c>
      <c r="E23" s="3">
        <v>187</v>
      </c>
      <c r="F23" s="31">
        <f t="shared" si="1"/>
        <v>218</v>
      </c>
      <c r="H23" s="4">
        <v>34.97</v>
      </c>
      <c r="I23" s="4">
        <v>0</v>
      </c>
      <c r="J23" s="4">
        <v>44.08</v>
      </c>
      <c r="K23" s="4">
        <v>42.71</v>
      </c>
      <c r="M23" s="4">
        <v>183.9</v>
      </c>
      <c r="N23" s="4">
        <v>229.81898000000001</v>
      </c>
      <c r="O23" s="4">
        <v>222.86156</v>
      </c>
      <c r="Q23" s="29">
        <v>5453.55</v>
      </c>
      <c r="R23" s="29">
        <v>5355.24</v>
      </c>
      <c r="S23" s="29">
        <v>5370.14</v>
      </c>
    </row>
    <row r="24" spans="1:19" x14ac:dyDescent="0.2">
      <c r="A24" s="38">
        <v>4</v>
      </c>
      <c r="B24" s="3" t="s">
        <v>23</v>
      </c>
      <c r="C24" s="3">
        <v>27</v>
      </c>
      <c r="D24" s="3">
        <v>0</v>
      </c>
      <c r="E24" s="3">
        <v>301</v>
      </c>
      <c r="F24" s="31">
        <f t="shared" si="1"/>
        <v>328</v>
      </c>
      <c r="H24" s="4">
        <v>81.650000000000006</v>
      </c>
      <c r="I24" s="4">
        <v>0</v>
      </c>
      <c r="J24" s="4">
        <v>71.680000000000007</v>
      </c>
      <c r="K24" s="4">
        <v>72.569999999999993</v>
      </c>
      <c r="M24" s="4">
        <v>383.09019000000001</v>
      </c>
      <c r="N24" s="4">
        <v>316.3569</v>
      </c>
      <c r="O24" s="4">
        <v>322.31932</v>
      </c>
      <c r="Q24" s="29">
        <v>4770.41</v>
      </c>
      <c r="R24" s="29">
        <v>4589.97</v>
      </c>
      <c r="S24" s="29">
        <v>4606.09</v>
      </c>
    </row>
    <row r="25" spans="1:19" x14ac:dyDescent="0.2">
      <c r="A25" s="38">
        <v>5</v>
      </c>
      <c r="B25" s="3" t="s">
        <v>24</v>
      </c>
      <c r="C25" s="3">
        <v>7</v>
      </c>
      <c r="D25" s="3">
        <v>0</v>
      </c>
      <c r="E25" s="3">
        <v>225</v>
      </c>
      <c r="F25" s="31">
        <f t="shared" si="1"/>
        <v>232</v>
      </c>
      <c r="H25" s="4">
        <v>79.5</v>
      </c>
      <c r="I25" s="4">
        <v>0</v>
      </c>
      <c r="J25" s="4">
        <v>86.23</v>
      </c>
      <c r="K25" s="4">
        <v>86.04</v>
      </c>
      <c r="M25" s="4">
        <v>361.58332999999999</v>
      </c>
      <c r="N25" s="4">
        <v>387.37954999999999</v>
      </c>
      <c r="O25" s="4">
        <v>386.62453999999997</v>
      </c>
      <c r="Q25" s="29">
        <v>4521.8</v>
      </c>
      <c r="R25" s="29">
        <v>4595.76</v>
      </c>
      <c r="S25" s="29">
        <v>4593.6000000000004</v>
      </c>
    </row>
    <row r="26" spans="1:19" x14ac:dyDescent="0.2">
      <c r="A26" s="38">
        <v>6</v>
      </c>
      <c r="B26" s="3" t="s">
        <v>25</v>
      </c>
      <c r="C26" s="3">
        <v>23</v>
      </c>
      <c r="D26" s="3">
        <v>0</v>
      </c>
      <c r="E26" s="3">
        <v>441</v>
      </c>
      <c r="F26" s="31">
        <f t="shared" si="1"/>
        <v>464</v>
      </c>
      <c r="H26" s="4">
        <v>72.28</v>
      </c>
      <c r="I26" s="4">
        <v>0</v>
      </c>
      <c r="J26" s="4">
        <v>72.900000000000006</v>
      </c>
      <c r="K26" s="4">
        <v>72.87</v>
      </c>
      <c r="M26" s="4">
        <v>438.43710999999996</v>
      </c>
      <c r="N26" s="4">
        <v>334.63238999999999</v>
      </c>
      <c r="O26" s="4">
        <v>339.57547</v>
      </c>
      <c r="Q26" s="29">
        <v>6217.18</v>
      </c>
      <c r="R26" s="29">
        <v>4744.46</v>
      </c>
      <c r="S26" s="29">
        <v>4814.59</v>
      </c>
    </row>
    <row r="27" spans="1:19" x14ac:dyDescent="0.2">
      <c r="A27" s="38">
        <v>7</v>
      </c>
      <c r="B27" s="3" t="s">
        <v>26</v>
      </c>
      <c r="C27" s="3">
        <v>67</v>
      </c>
      <c r="D27" s="3">
        <v>0</v>
      </c>
      <c r="E27" s="3">
        <v>465</v>
      </c>
      <c r="F27" s="31">
        <f t="shared" si="1"/>
        <v>532</v>
      </c>
      <c r="H27" s="4">
        <v>142.63999999999999</v>
      </c>
      <c r="I27" s="4">
        <v>0</v>
      </c>
      <c r="J27" s="4">
        <v>114.31</v>
      </c>
      <c r="K27" s="4">
        <v>117.76</v>
      </c>
      <c r="M27" s="4">
        <v>1060.6804199999999</v>
      </c>
      <c r="N27" s="4">
        <v>720.29708999999991</v>
      </c>
      <c r="O27" s="4">
        <v>762.22321999999997</v>
      </c>
      <c r="Q27" s="29">
        <v>7543.22</v>
      </c>
      <c r="R27" s="29">
        <v>6325.99</v>
      </c>
      <c r="S27" s="29">
        <v>6475.92</v>
      </c>
    </row>
    <row r="28" spans="1:19" x14ac:dyDescent="0.2">
      <c r="A28" s="38">
        <v>8</v>
      </c>
      <c r="B28" s="3" t="s">
        <v>27</v>
      </c>
      <c r="C28" s="3">
        <v>40</v>
      </c>
      <c r="D28" s="3">
        <v>1</v>
      </c>
      <c r="E28" s="3">
        <v>395</v>
      </c>
      <c r="F28" s="31">
        <f t="shared" si="1"/>
        <v>436</v>
      </c>
      <c r="H28" s="4">
        <v>103.81</v>
      </c>
      <c r="I28" s="4">
        <v>52</v>
      </c>
      <c r="J28" s="4">
        <v>96.88</v>
      </c>
      <c r="K28" s="4">
        <v>97.41</v>
      </c>
      <c r="M28" s="4">
        <v>921.89225999999996</v>
      </c>
      <c r="N28" s="4">
        <v>526.35741000000007</v>
      </c>
      <c r="O28" s="4">
        <v>563.59606000000008</v>
      </c>
      <c r="Q28" s="29">
        <v>8645.59</v>
      </c>
      <c r="R28" s="29">
        <v>5591.35</v>
      </c>
      <c r="S28" s="29">
        <v>5878.9</v>
      </c>
    </row>
    <row r="29" spans="1:19" x14ac:dyDescent="0.2">
      <c r="A29" s="38">
        <v>9</v>
      </c>
      <c r="B29" s="3" t="s">
        <v>28</v>
      </c>
      <c r="C29" s="3">
        <v>120</v>
      </c>
      <c r="D29" s="3">
        <v>12</v>
      </c>
      <c r="E29" s="3">
        <v>329</v>
      </c>
      <c r="F29" s="31">
        <f t="shared" si="1"/>
        <v>461</v>
      </c>
      <c r="H29" s="4">
        <v>77.17</v>
      </c>
      <c r="I29" s="4">
        <v>80.67</v>
      </c>
      <c r="J29" s="4">
        <v>82.25</v>
      </c>
      <c r="K29" s="4">
        <v>80.91</v>
      </c>
      <c r="M29" s="4">
        <v>378.29365999999999</v>
      </c>
      <c r="N29" s="4">
        <v>391.68916999999999</v>
      </c>
      <c r="O29" s="4">
        <v>387.85113000000001</v>
      </c>
      <c r="Q29" s="29">
        <v>4954.91</v>
      </c>
      <c r="R29" s="29">
        <v>4831.3100000000004</v>
      </c>
      <c r="S29" s="29">
        <v>4866.72</v>
      </c>
    </row>
    <row r="30" spans="1:19" x14ac:dyDescent="0.2">
      <c r="A30" s="38">
        <v>10</v>
      </c>
      <c r="B30" s="3" t="s">
        <v>29</v>
      </c>
      <c r="C30" s="3">
        <v>24</v>
      </c>
      <c r="D30" s="3">
        <v>3</v>
      </c>
      <c r="E30" s="3">
        <v>298</v>
      </c>
      <c r="F30" s="31">
        <f t="shared" si="1"/>
        <v>325</v>
      </c>
      <c r="H30" s="4">
        <v>84.62</v>
      </c>
      <c r="I30" s="4">
        <v>86</v>
      </c>
      <c r="J30" s="4">
        <v>84.94</v>
      </c>
      <c r="K30" s="4">
        <v>84.92</v>
      </c>
      <c r="M30" s="4">
        <v>376.56009999999998</v>
      </c>
      <c r="N30" s="4">
        <v>378.67912999999999</v>
      </c>
      <c r="O30" s="4">
        <v>378.50928000000005</v>
      </c>
      <c r="Q30" s="29">
        <v>4402.3</v>
      </c>
      <c r="R30" s="29">
        <v>4675.57</v>
      </c>
      <c r="S30" s="29">
        <v>4653.67</v>
      </c>
    </row>
    <row r="31" spans="1:19" x14ac:dyDescent="0.2">
      <c r="A31" s="38">
        <v>11</v>
      </c>
      <c r="B31" s="3" t="s">
        <v>30</v>
      </c>
      <c r="C31" s="3">
        <v>7</v>
      </c>
      <c r="D31" s="3">
        <v>0</v>
      </c>
      <c r="E31" s="3">
        <v>403</v>
      </c>
      <c r="F31" s="31">
        <f t="shared" si="1"/>
        <v>410</v>
      </c>
      <c r="H31" s="4">
        <v>66.400000000000006</v>
      </c>
      <c r="I31" s="4">
        <v>0</v>
      </c>
      <c r="J31" s="4">
        <v>62.82</v>
      </c>
      <c r="K31" s="4">
        <v>62.87</v>
      </c>
      <c r="M31" s="4">
        <v>301.80040000000002</v>
      </c>
      <c r="N31" s="4">
        <v>246.71089999999998</v>
      </c>
      <c r="O31" s="4">
        <v>247.52825000000001</v>
      </c>
      <c r="Q31" s="29">
        <v>4708.92</v>
      </c>
      <c r="R31" s="29">
        <v>4067.06</v>
      </c>
      <c r="S31" s="29">
        <v>4076.58</v>
      </c>
    </row>
    <row r="32" spans="1:19" x14ac:dyDescent="0.2">
      <c r="A32" s="38">
        <v>12</v>
      </c>
      <c r="B32" s="3" t="s">
        <v>31</v>
      </c>
      <c r="C32" s="3">
        <v>70</v>
      </c>
      <c r="D32" s="3">
        <v>3</v>
      </c>
      <c r="E32" s="3">
        <v>73</v>
      </c>
      <c r="F32" s="31">
        <f t="shared" si="1"/>
        <v>146</v>
      </c>
      <c r="H32" s="4">
        <v>81.97</v>
      </c>
      <c r="I32" s="4">
        <v>59.67</v>
      </c>
      <c r="J32" s="4">
        <v>81.040000000000006</v>
      </c>
      <c r="K32" s="4">
        <v>81.05</v>
      </c>
      <c r="M32" s="4">
        <v>345.16353999999995</v>
      </c>
      <c r="N32" s="4">
        <v>357.20517999999998</v>
      </c>
      <c r="O32" s="4">
        <v>350.91477000000003</v>
      </c>
      <c r="Q32" s="29">
        <v>4381.8999999999996</v>
      </c>
      <c r="R32" s="29">
        <v>4409.45</v>
      </c>
      <c r="S32" s="29">
        <v>4395.0600000000004</v>
      </c>
    </row>
    <row r="33" spans="1:19" x14ac:dyDescent="0.2">
      <c r="A33" s="38">
        <v>13</v>
      </c>
      <c r="B33" s="3" t="s">
        <v>32</v>
      </c>
      <c r="C33" s="3">
        <v>7</v>
      </c>
      <c r="D33" s="3">
        <v>0</v>
      </c>
      <c r="E33" s="3">
        <v>246</v>
      </c>
      <c r="F33" s="31">
        <f t="shared" si="1"/>
        <v>253</v>
      </c>
      <c r="H33" s="4">
        <v>48.43</v>
      </c>
      <c r="I33" s="4">
        <v>0</v>
      </c>
      <c r="J33" s="4">
        <v>70.59</v>
      </c>
      <c r="K33" s="4">
        <v>69.89</v>
      </c>
      <c r="M33" s="4">
        <v>178.92857000000001</v>
      </c>
      <c r="N33" s="4">
        <v>257.36806000000001</v>
      </c>
      <c r="O33" s="4">
        <v>253.58132999999998</v>
      </c>
      <c r="Q33" s="29">
        <v>3760.16</v>
      </c>
      <c r="R33" s="29">
        <v>3675</v>
      </c>
      <c r="S33" s="29">
        <v>3679.11</v>
      </c>
    </row>
    <row r="34" spans="1:19" x14ac:dyDescent="0.2">
      <c r="A34" s="38">
        <v>14</v>
      </c>
      <c r="B34" s="3" t="s">
        <v>33</v>
      </c>
      <c r="C34" s="3">
        <v>11</v>
      </c>
      <c r="D34" s="3">
        <v>0</v>
      </c>
      <c r="E34" s="3">
        <v>74</v>
      </c>
      <c r="F34" s="31">
        <f t="shared" si="1"/>
        <v>85</v>
      </c>
      <c r="H34" s="4">
        <v>77</v>
      </c>
      <c r="I34" s="4">
        <v>0</v>
      </c>
      <c r="J34" s="4">
        <v>80.72</v>
      </c>
      <c r="K34" s="4">
        <v>80.19</v>
      </c>
      <c r="M34" s="4">
        <v>327.60000000000002</v>
      </c>
      <c r="N34" s="4">
        <v>267.26053999999999</v>
      </c>
      <c r="O34" s="4">
        <v>276.00539000000003</v>
      </c>
      <c r="Q34" s="29">
        <v>4374.26</v>
      </c>
      <c r="R34" s="29">
        <v>3538.72</v>
      </c>
      <c r="S34" s="29">
        <v>3659.81</v>
      </c>
    </row>
    <row r="35" spans="1:19" x14ac:dyDescent="0.2">
      <c r="A35" s="38">
        <v>15</v>
      </c>
      <c r="B35" s="3" t="s">
        <v>34</v>
      </c>
      <c r="C35" s="3">
        <v>29</v>
      </c>
      <c r="D35" s="3">
        <v>1</v>
      </c>
      <c r="E35" s="3">
        <v>119</v>
      </c>
      <c r="F35" s="31">
        <f t="shared" si="1"/>
        <v>149</v>
      </c>
      <c r="H35" s="4">
        <v>68</v>
      </c>
      <c r="I35" s="4">
        <v>48</v>
      </c>
      <c r="J35" s="4">
        <v>69.14</v>
      </c>
      <c r="K35" s="4">
        <v>68.77</v>
      </c>
      <c r="M35" s="4">
        <v>301.19195999999999</v>
      </c>
      <c r="N35" s="4">
        <v>263.23827</v>
      </c>
      <c r="O35" s="4">
        <v>270.42646999999999</v>
      </c>
      <c r="Q35" s="29">
        <v>4446.78</v>
      </c>
      <c r="R35" s="29">
        <v>3833.98</v>
      </c>
      <c r="S35" s="29">
        <v>3950.04</v>
      </c>
    </row>
    <row r="36" spans="1:19" x14ac:dyDescent="0.2">
      <c r="A36" s="38">
        <v>16</v>
      </c>
      <c r="B36" s="3" t="s">
        <v>35</v>
      </c>
      <c r="C36" s="3">
        <v>5</v>
      </c>
      <c r="D36" s="3">
        <v>0</v>
      </c>
      <c r="E36" s="3">
        <v>168</v>
      </c>
      <c r="F36" s="31">
        <f t="shared" si="1"/>
        <v>173</v>
      </c>
      <c r="H36" s="4">
        <v>85</v>
      </c>
      <c r="I36" s="4">
        <v>0</v>
      </c>
      <c r="J36" s="4">
        <v>68.56</v>
      </c>
      <c r="K36" s="4">
        <v>68.83</v>
      </c>
      <c r="M36" s="4">
        <v>363.72500000000002</v>
      </c>
      <c r="N36" s="4">
        <v>246.17948999999999</v>
      </c>
      <c r="O36" s="4">
        <v>249.11813000000001</v>
      </c>
      <c r="Q36" s="29">
        <v>5064.1000000000004</v>
      </c>
      <c r="R36" s="29">
        <v>3581.48</v>
      </c>
      <c r="S36" s="29">
        <v>3618.55</v>
      </c>
    </row>
    <row r="37" spans="1:19" x14ac:dyDescent="0.2">
      <c r="A37" s="38">
        <v>17</v>
      </c>
      <c r="B37" s="3" t="s">
        <v>36</v>
      </c>
      <c r="C37" s="3">
        <v>16</v>
      </c>
      <c r="D37" s="3">
        <v>0</v>
      </c>
      <c r="E37" s="3">
        <v>194</v>
      </c>
      <c r="F37" s="31">
        <f t="shared" si="1"/>
        <v>210</v>
      </c>
      <c r="H37" s="4">
        <v>73.599999999999994</v>
      </c>
      <c r="I37" s="4">
        <v>0</v>
      </c>
      <c r="J37" s="4">
        <v>65.02</v>
      </c>
      <c r="K37" s="4">
        <v>65.760000000000005</v>
      </c>
      <c r="M37" s="4">
        <v>233.96667000000002</v>
      </c>
      <c r="N37" s="4">
        <v>257.91482000000002</v>
      </c>
      <c r="O37" s="4">
        <v>254.67857999999998</v>
      </c>
      <c r="Q37" s="29">
        <v>3338.88</v>
      </c>
      <c r="R37" s="29">
        <v>3898.57</v>
      </c>
      <c r="S37" s="29">
        <v>3822.94</v>
      </c>
    </row>
    <row r="38" spans="1:19" x14ac:dyDescent="0.2">
      <c r="A38" s="38">
        <v>18</v>
      </c>
      <c r="B38" s="3" t="s">
        <v>37</v>
      </c>
      <c r="C38" s="3">
        <v>14</v>
      </c>
      <c r="D38" s="3">
        <v>0</v>
      </c>
      <c r="E38" s="3">
        <v>307</v>
      </c>
      <c r="F38" s="31">
        <f t="shared" si="1"/>
        <v>321</v>
      </c>
      <c r="H38" s="4">
        <v>76.709999999999994</v>
      </c>
      <c r="I38" s="4">
        <v>0</v>
      </c>
      <c r="J38" s="4">
        <v>68.86</v>
      </c>
      <c r="K38" s="4">
        <v>69.08</v>
      </c>
      <c r="M38" s="4">
        <v>283.85714000000002</v>
      </c>
      <c r="N38" s="4">
        <v>269.39654999999999</v>
      </c>
      <c r="O38" s="4">
        <v>269.91300000000001</v>
      </c>
      <c r="Q38" s="29">
        <v>3860.15</v>
      </c>
      <c r="R38" s="29">
        <v>3854.4</v>
      </c>
      <c r="S38" s="29">
        <v>3854.61</v>
      </c>
    </row>
    <row r="39" spans="1:19" x14ac:dyDescent="0.2">
      <c r="A39" s="38">
        <v>19</v>
      </c>
      <c r="B39" s="3" t="s">
        <v>38</v>
      </c>
      <c r="C39" s="3">
        <v>15</v>
      </c>
      <c r="D39" s="3">
        <v>1</v>
      </c>
      <c r="E39" s="3">
        <v>327</v>
      </c>
      <c r="F39" s="31">
        <f t="shared" si="1"/>
        <v>343</v>
      </c>
      <c r="H39" s="4">
        <v>92.46</v>
      </c>
      <c r="I39" s="4">
        <v>0</v>
      </c>
      <c r="J39" s="4">
        <v>86.78</v>
      </c>
      <c r="K39" s="4">
        <v>87.02</v>
      </c>
      <c r="M39" s="4">
        <v>572.84615000000008</v>
      </c>
      <c r="N39" s="4">
        <v>456.03345000000002</v>
      </c>
      <c r="O39" s="4">
        <v>461.51562999999999</v>
      </c>
      <c r="Q39" s="29">
        <v>6243.26</v>
      </c>
      <c r="R39" s="29">
        <v>5200.34</v>
      </c>
      <c r="S39" s="29">
        <v>5249.29</v>
      </c>
    </row>
    <row r="40" spans="1:19" x14ac:dyDescent="0.2">
      <c r="A40" s="38">
        <v>20</v>
      </c>
      <c r="B40" s="3" t="s">
        <v>39</v>
      </c>
      <c r="C40" s="3">
        <v>0</v>
      </c>
      <c r="D40" s="3">
        <v>0</v>
      </c>
      <c r="E40" s="3">
        <v>138</v>
      </c>
      <c r="F40" s="31">
        <f t="shared" si="1"/>
        <v>138</v>
      </c>
      <c r="H40" s="4">
        <v>0</v>
      </c>
      <c r="I40" s="4">
        <v>0</v>
      </c>
      <c r="J40" s="4">
        <v>80.569999999999993</v>
      </c>
      <c r="K40" s="4">
        <v>80.569999999999993</v>
      </c>
      <c r="M40" s="4">
        <v>0</v>
      </c>
      <c r="N40" s="4">
        <v>408.23828000000003</v>
      </c>
      <c r="O40" s="4">
        <v>408.23828000000003</v>
      </c>
      <c r="Q40" s="4">
        <v>0</v>
      </c>
      <c r="R40" s="29">
        <v>4816.21</v>
      </c>
      <c r="S40" s="29">
        <v>4816.21</v>
      </c>
    </row>
    <row r="41" spans="1:19" x14ac:dyDescent="0.2">
      <c r="A41" s="38">
        <v>21</v>
      </c>
      <c r="B41" s="3" t="s">
        <v>40</v>
      </c>
      <c r="C41" s="3">
        <v>2</v>
      </c>
      <c r="D41" s="3">
        <v>0</v>
      </c>
      <c r="E41" s="3">
        <v>88</v>
      </c>
      <c r="F41" s="31">
        <f t="shared" si="1"/>
        <v>90</v>
      </c>
      <c r="H41" s="4">
        <v>100</v>
      </c>
      <c r="I41" s="4">
        <v>0</v>
      </c>
      <c r="J41" s="4">
        <v>159.08000000000001</v>
      </c>
      <c r="K41" s="4">
        <v>157.47999999999999</v>
      </c>
      <c r="M41" s="4">
        <v>0</v>
      </c>
      <c r="N41" s="4">
        <v>1162.3688100000002</v>
      </c>
      <c r="O41" s="4">
        <v>1145.5070499999999</v>
      </c>
      <c r="Q41" s="4">
        <v>0</v>
      </c>
      <c r="R41" s="29">
        <v>6686.13</v>
      </c>
      <c r="S41" s="29">
        <v>6664.9</v>
      </c>
    </row>
    <row r="42" spans="1:19" x14ac:dyDescent="0.2">
      <c r="A42" s="38">
        <v>22</v>
      </c>
      <c r="B42" s="3" t="s">
        <v>41</v>
      </c>
      <c r="C42" s="3">
        <v>1</v>
      </c>
      <c r="D42" s="3">
        <v>0</v>
      </c>
      <c r="E42" s="3">
        <v>25</v>
      </c>
      <c r="F42" s="31">
        <f t="shared" si="1"/>
        <v>26</v>
      </c>
      <c r="H42" s="4">
        <v>86</v>
      </c>
      <c r="I42" s="4">
        <v>0</v>
      </c>
      <c r="J42" s="4">
        <v>131.16999999999999</v>
      </c>
      <c r="K42" s="4">
        <v>128.79</v>
      </c>
      <c r="M42" s="4">
        <v>0</v>
      </c>
      <c r="N42" s="4">
        <v>455.61111</v>
      </c>
      <c r="O42" s="4">
        <v>452.68421000000001</v>
      </c>
      <c r="Q42" s="4">
        <v>0</v>
      </c>
      <c r="R42" s="29">
        <v>4305.63</v>
      </c>
      <c r="S42" s="29">
        <v>4323.82</v>
      </c>
    </row>
    <row r="43" spans="1:19" x14ac:dyDescent="0.2">
      <c r="A43" s="38">
        <v>23</v>
      </c>
      <c r="B43" s="3" t="s">
        <v>42</v>
      </c>
      <c r="C43" s="3">
        <v>20</v>
      </c>
      <c r="D43" s="3">
        <v>0</v>
      </c>
      <c r="E43" s="3">
        <v>148</v>
      </c>
      <c r="F43" s="31">
        <f t="shared" si="1"/>
        <v>168</v>
      </c>
      <c r="H43" s="4">
        <v>143.25</v>
      </c>
      <c r="I43" s="4">
        <v>0</v>
      </c>
      <c r="J43" s="4">
        <v>122.67</v>
      </c>
      <c r="K43" s="4">
        <v>125.38</v>
      </c>
      <c r="M43" s="4">
        <v>1576.3467800000001</v>
      </c>
      <c r="N43" s="4">
        <v>837.67673000000002</v>
      </c>
      <c r="O43" s="4">
        <v>943.9601899999999</v>
      </c>
      <c r="Q43" s="29">
        <v>10588.55</v>
      </c>
      <c r="R43" s="29">
        <v>6736.19</v>
      </c>
      <c r="S43" s="29">
        <v>7290.49</v>
      </c>
    </row>
    <row r="44" spans="1:19" x14ac:dyDescent="0.2">
      <c r="A44" s="38">
        <v>24</v>
      </c>
      <c r="B44" s="3" t="s">
        <v>43</v>
      </c>
      <c r="C44" s="3">
        <v>2</v>
      </c>
      <c r="D44" s="3">
        <v>0</v>
      </c>
      <c r="E44" s="3">
        <v>112</v>
      </c>
      <c r="F44" s="31">
        <f t="shared" si="1"/>
        <v>114</v>
      </c>
      <c r="H44" s="4">
        <v>204</v>
      </c>
      <c r="I44" s="4">
        <v>0</v>
      </c>
      <c r="J44" s="4">
        <v>154.43</v>
      </c>
      <c r="K44" s="4">
        <v>155.41999999999999</v>
      </c>
      <c r="M44" s="4">
        <v>0</v>
      </c>
      <c r="N44" s="4">
        <v>999.01297</v>
      </c>
      <c r="O44" s="4">
        <v>1000.1335600000001</v>
      </c>
      <c r="Q44" s="4">
        <v>0</v>
      </c>
      <c r="R44" s="29">
        <v>6546.06</v>
      </c>
      <c r="S44" s="29">
        <v>6515.47</v>
      </c>
    </row>
    <row r="45" spans="1:19" x14ac:dyDescent="0.2">
      <c r="A45" s="38">
        <v>25</v>
      </c>
      <c r="B45" s="3" t="s">
        <v>44</v>
      </c>
      <c r="C45" s="3">
        <v>48</v>
      </c>
      <c r="D45" s="3">
        <v>0</v>
      </c>
      <c r="E45" s="3">
        <v>155</v>
      </c>
      <c r="F45" s="31">
        <f t="shared" si="1"/>
        <v>203</v>
      </c>
      <c r="H45" s="4">
        <v>96.89</v>
      </c>
      <c r="I45" s="4">
        <v>0</v>
      </c>
      <c r="J45" s="4">
        <v>131.81</v>
      </c>
      <c r="K45" s="4">
        <v>123.23</v>
      </c>
      <c r="M45" s="4">
        <v>710.48023000000001</v>
      </c>
      <c r="N45" s="4">
        <v>868.43587000000002</v>
      </c>
      <c r="O45" s="4">
        <v>829.60879</v>
      </c>
      <c r="Q45" s="29">
        <v>7777.69</v>
      </c>
      <c r="R45" s="29">
        <v>6493.59</v>
      </c>
      <c r="S45" s="29">
        <v>6809.23</v>
      </c>
    </row>
    <row r="46" spans="1:19" x14ac:dyDescent="0.2">
      <c r="A46" s="38">
        <v>26</v>
      </c>
      <c r="B46" s="3" t="s">
        <v>45</v>
      </c>
      <c r="C46" s="3">
        <v>69</v>
      </c>
      <c r="D46" s="3">
        <v>0</v>
      </c>
      <c r="E46" s="3">
        <v>393</v>
      </c>
      <c r="F46" s="31">
        <f t="shared" si="1"/>
        <v>462</v>
      </c>
      <c r="H46" s="4">
        <v>127.12</v>
      </c>
      <c r="I46" s="4">
        <v>0</v>
      </c>
      <c r="J46" s="4">
        <v>138.11000000000001</v>
      </c>
      <c r="K46" s="4">
        <v>136.6</v>
      </c>
      <c r="M46" s="4">
        <v>737.93119999999999</v>
      </c>
      <c r="N46" s="4">
        <v>795.60931000000005</v>
      </c>
      <c r="O46" s="4">
        <v>787.55133999999998</v>
      </c>
      <c r="Q46" s="29">
        <v>5939.47</v>
      </c>
      <c r="R46" s="29">
        <v>5905.06</v>
      </c>
      <c r="S46" s="29">
        <v>5909.87</v>
      </c>
    </row>
    <row r="47" spans="1:19" x14ac:dyDescent="0.2">
      <c r="A47" s="38">
        <v>27</v>
      </c>
      <c r="B47" s="3" t="s">
        <v>46</v>
      </c>
      <c r="C47" s="3">
        <v>15</v>
      </c>
      <c r="D47" s="3">
        <v>0</v>
      </c>
      <c r="E47" s="3">
        <v>200</v>
      </c>
      <c r="F47" s="31">
        <f t="shared" si="1"/>
        <v>215</v>
      </c>
      <c r="H47" s="4">
        <v>63.18</v>
      </c>
      <c r="I47" s="4">
        <v>0</v>
      </c>
      <c r="J47" s="4">
        <v>106.63</v>
      </c>
      <c r="K47" s="4">
        <v>104.2</v>
      </c>
      <c r="M47" s="4">
        <v>394.81817999999998</v>
      </c>
      <c r="N47" s="4">
        <v>518.28602000000001</v>
      </c>
      <c r="O47" s="4">
        <v>511.17531000000002</v>
      </c>
      <c r="Q47" s="29">
        <v>6528.58</v>
      </c>
      <c r="R47" s="29">
        <v>5057.7700000000004</v>
      </c>
      <c r="S47" s="29">
        <v>5142.4799999999996</v>
      </c>
    </row>
    <row r="48" spans="1:19" x14ac:dyDescent="0.2">
      <c r="A48" s="38">
        <v>28</v>
      </c>
      <c r="B48" s="3" t="s">
        <v>47</v>
      </c>
      <c r="C48" s="3">
        <v>62</v>
      </c>
      <c r="D48" s="3">
        <v>0</v>
      </c>
      <c r="E48" s="3">
        <v>94</v>
      </c>
      <c r="F48" s="31">
        <f t="shared" si="1"/>
        <v>156</v>
      </c>
      <c r="H48" s="4">
        <v>105.61</v>
      </c>
      <c r="I48" s="4">
        <v>0</v>
      </c>
      <c r="J48" s="4">
        <v>94.16</v>
      </c>
      <c r="K48" s="4">
        <v>98.68</v>
      </c>
      <c r="M48" s="4">
        <v>452.14347999999995</v>
      </c>
      <c r="N48" s="4">
        <v>409.14401000000004</v>
      </c>
      <c r="O48" s="4">
        <v>426.59307000000001</v>
      </c>
      <c r="Q48" s="29">
        <v>4843.6499999999996</v>
      </c>
      <c r="R48" s="29">
        <v>4339.12</v>
      </c>
      <c r="S48" s="29">
        <v>4543.8599999999997</v>
      </c>
    </row>
    <row r="49" spans="1:19" x14ac:dyDescent="0.2">
      <c r="A49" s="38">
        <v>29</v>
      </c>
      <c r="B49" s="3" t="s">
        <v>48</v>
      </c>
      <c r="C49" s="3">
        <v>12</v>
      </c>
      <c r="D49" s="3">
        <v>0</v>
      </c>
      <c r="E49" s="3">
        <v>42</v>
      </c>
      <c r="F49" s="31">
        <f t="shared" si="1"/>
        <v>54</v>
      </c>
      <c r="H49" s="4">
        <v>67.36</v>
      </c>
      <c r="I49" s="4">
        <v>0</v>
      </c>
      <c r="J49" s="4">
        <v>72.45</v>
      </c>
      <c r="K49" s="4">
        <v>71.349999999999994</v>
      </c>
      <c r="M49" s="4">
        <v>228.45454999999998</v>
      </c>
      <c r="N49" s="4">
        <v>246.36901999999998</v>
      </c>
      <c r="O49" s="4">
        <v>242.50510999999997</v>
      </c>
      <c r="Q49" s="29">
        <v>3479.65</v>
      </c>
      <c r="R49" s="29">
        <v>3292.61</v>
      </c>
      <c r="S49" s="29">
        <v>3332.95</v>
      </c>
    </row>
    <row r="50" spans="1:19" x14ac:dyDescent="0.2">
      <c r="A50" s="38">
        <v>30</v>
      </c>
      <c r="B50" s="3" t="s">
        <v>49</v>
      </c>
      <c r="C50" s="3">
        <v>7</v>
      </c>
      <c r="D50" s="3">
        <v>0</v>
      </c>
      <c r="E50" s="3">
        <v>124</v>
      </c>
      <c r="F50" s="31">
        <f t="shared" si="1"/>
        <v>131</v>
      </c>
      <c r="H50" s="4">
        <v>83.5</v>
      </c>
      <c r="I50" s="4">
        <v>0</v>
      </c>
      <c r="J50" s="4">
        <v>87.07</v>
      </c>
      <c r="K50" s="4">
        <v>86.89</v>
      </c>
      <c r="M50" s="4">
        <v>470.83332999999999</v>
      </c>
      <c r="N50" s="4">
        <v>390.63661999999999</v>
      </c>
      <c r="O50" s="4">
        <v>394.58071999999999</v>
      </c>
      <c r="Q50" s="29">
        <v>5611.41</v>
      </c>
      <c r="R50" s="29">
        <v>4657.6499999999996</v>
      </c>
      <c r="S50" s="29">
        <v>4704.5600000000004</v>
      </c>
    </row>
    <row r="51" spans="1:19" x14ac:dyDescent="0.2">
      <c r="A51" s="38">
        <v>31</v>
      </c>
      <c r="B51" s="3" t="s">
        <v>50</v>
      </c>
      <c r="C51" s="3">
        <v>14</v>
      </c>
      <c r="D51" s="3">
        <v>0</v>
      </c>
      <c r="E51" s="3">
        <v>417</v>
      </c>
      <c r="F51" s="31">
        <f t="shared" si="1"/>
        <v>431</v>
      </c>
      <c r="H51" s="4">
        <v>117.67</v>
      </c>
      <c r="I51" s="4">
        <v>0</v>
      </c>
      <c r="J51" s="4">
        <v>78.510000000000005</v>
      </c>
      <c r="K51" s="4">
        <v>79.760000000000005</v>
      </c>
      <c r="M51" s="4">
        <v>1658.4712500000001</v>
      </c>
      <c r="N51" s="4">
        <v>386.68202000000002</v>
      </c>
      <c r="O51" s="4">
        <v>427.59748999999999</v>
      </c>
      <c r="Q51" s="29">
        <v>10071.219999999999</v>
      </c>
      <c r="R51" s="29">
        <v>5028.76</v>
      </c>
      <c r="S51" s="29">
        <v>5190.9799999999996</v>
      </c>
    </row>
    <row r="52" spans="1:19" x14ac:dyDescent="0.2">
      <c r="A52" s="38">
        <v>32</v>
      </c>
      <c r="B52" s="3" t="s">
        <v>51</v>
      </c>
      <c r="C52" s="3">
        <v>8</v>
      </c>
      <c r="D52" s="3">
        <v>0</v>
      </c>
      <c r="E52" s="3">
        <v>295</v>
      </c>
      <c r="F52" s="31">
        <f t="shared" si="1"/>
        <v>303</v>
      </c>
      <c r="H52" s="4">
        <v>104.63</v>
      </c>
      <c r="I52" s="4">
        <v>0</v>
      </c>
      <c r="J52" s="4">
        <v>72.58</v>
      </c>
      <c r="K52" s="4">
        <v>73.48</v>
      </c>
      <c r="M52" s="4">
        <v>659.65001000000007</v>
      </c>
      <c r="N52" s="4">
        <v>342.10442</v>
      </c>
      <c r="O52" s="4">
        <v>351.04937000000001</v>
      </c>
      <c r="Q52" s="29">
        <v>6465.16</v>
      </c>
      <c r="R52" s="29">
        <v>4814</v>
      </c>
      <c r="S52" s="29">
        <v>4860.51</v>
      </c>
    </row>
    <row r="53" spans="1:19" x14ac:dyDescent="0.2">
      <c r="A53" s="38">
        <v>33</v>
      </c>
      <c r="B53" s="3" t="s">
        <v>52</v>
      </c>
      <c r="C53" s="3">
        <v>12</v>
      </c>
      <c r="D53" s="3">
        <v>0</v>
      </c>
      <c r="E53" s="3">
        <v>182</v>
      </c>
      <c r="F53" s="31">
        <f t="shared" si="1"/>
        <v>194</v>
      </c>
      <c r="H53" s="4">
        <v>61.64</v>
      </c>
      <c r="I53" s="4">
        <v>0</v>
      </c>
      <c r="J53" s="4">
        <v>71.95</v>
      </c>
      <c r="K53" s="4">
        <v>71.290000000000006</v>
      </c>
      <c r="M53" s="4">
        <v>246.1</v>
      </c>
      <c r="N53" s="4">
        <v>289.12438000000003</v>
      </c>
      <c r="O53" s="4">
        <v>286.5634</v>
      </c>
      <c r="Q53" s="29">
        <v>4031.54</v>
      </c>
      <c r="R53" s="29">
        <v>4185.1099999999997</v>
      </c>
      <c r="S53" s="29">
        <v>4175.97</v>
      </c>
    </row>
    <row r="54" spans="1:19" x14ac:dyDescent="0.2">
      <c r="A54" s="38">
        <v>34</v>
      </c>
      <c r="B54" s="3" t="s">
        <v>53</v>
      </c>
      <c r="C54" s="3">
        <v>0</v>
      </c>
      <c r="D54" s="3">
        <v>0</v>
      </c>
      <c r="E54" s="3">
        <v>84</v>
      </c>
      <c r="F54" s="31">
        <f t="shared" si="1"/>
        <v>84</v>
      </c>
      <c r="H54" s="4">
        <v>0</v>
      </c>
      <c r="I54" s="4">
        <v>0</v>
      </c>
      <c r="J54" s="4">
        <v>62.3</v>
      </c>
      <c r="K54" s="4">
        <v>62.3</v>
      </c>
      <c r="M54" s="4">
        <v>0</v>
      </c>
      <c r="N54" s="4">
        <v>194.15364000000002</v>
      </c>
      <c r="O54" s="4">
        <v>194.15364000000002</v>
      </c>
      <c r="Q54" s="4">
        <v>0</v>
      </c>
      <c r="R54" s="29">
        <v>3067.27</v>
      </c>
      <c r="S54" s="29">
        <v>3067.27</v>
      </c>
    </row>
    <row r="55" spans="1:19" x14ac:dyDescent="0.2">
      <c r="A55" s="38">
        <v>35</v>
      </c>
      <c r="B55" s="3" t="s">
        <v>54</v>
      </c>
      <c r="C55" s="3">
        <v>48</v>
      </c>
      <c r="D55" s="3">
        <v>0</v>
      </c>
      <c r="E55" s="3">
        <v>258</v>
      </c>
      <c r="F55" s="31">
        <f t="shared" si="1"/>
        <v>306</v>
      </c>
      <c r="H55" s="4">
        <v>79.040000000000006</v>
      </c>
      <c r="I55" s="4">
        <v>0</v>
      </c>
      <c r="J55" s="4">
        <v>72.150000000000006</v>
      </c>
      <c r="K55" s="4">
        <v>73.290000000000006</v>
      </c>
      <c r="M55" s="4">
        <v>412.24061</v>
      </c>
      <c r="N55" s="4">
        <v>266.14628000000005</v>
      </c>
      <c r="O55" s="4">
        <v>290.49533000000002</v>
      </c>
      <c r="Q55" s="29">
        <v>5288.64</v>
      </c>
      <c r="R55" s="29">
        <v>3779.11</v>
      </c>
      <c r="S55" s="29">
        <v>4030.7</v>
      </c>
    </row>
    <row r="56" spans="1:19" x14ac:dyDescent="0.2">
      <c r="A56" s="38">
        <v>36</v>
      </c>
      <c r="B56" s="3" t="s">
        <v>55</v>
      </c>
      <c r="C56" s="3">
        <v>11</v>
      </c>
      <c r="D56" s="3">
        <v>0</v>
      </c>
      <c r="E56" s="3">
        <v>74</v>
      </c>
      <c r="F56" s="31">
        <f t="shared" si="1"/>
        <v>85</v>
      </c>
      <c r="H56" s="4">
        <v>77.55</v>
      </c>
      <c r="I56" s="4">
        <v>0</v>
      </c>
      <c r="J56" s="4">
        <v>83.38</v>
      </c>
      <c r="K56" s="4">
        <v>82.58</v>
      </c>
      <c r="M56" s="4">
        <v>498.98182000000003</v>
      </c>
      <c r="N56" s="4">
        <v>315.55667</v>
      </c>
      <c r="O56" s="4">
        <v>341.09688</v>
      </c>
      <c r="Q56" s="29">
        <v>6867.81</v>
      </c>
      <c r="R56" s="29">
        <v>4034.92</v>
      </c>
      <c r="S56" s="29">
        <v>4429.37</v>
      </c>
    </row>
    <row r="57" spans="1:19" x14ac:dyDescent="0.2">
      <c r="A57" s="38">
        <v>37</v>
      </c>
      <c r="B57" s="3" t="s">
        <v>56</v>
      </c>
      <c r="C57" s="3">
        <v>57</v>
      </c>
      <c r="D57" s="3">
        <v>3</v>
      </c>
      <c r="E57" s="3">
        <v>258</v>
      </c>
      <c r="F57" s="31">
        <f t="shared" si="1"/>
        <v>318</v>
      </c>
      <c r="H57" s="4">
        <v>62.93</v>
      </c>
      <c r="I57" s="4">
        <v>81</v>
      </c>
      <c r="J57" s="4">
        <v>62.15</v>
      </c>
      <c r="K57" s="4">
        <v>62.48</v>
      </c>
      <c r="M57" s="4">
        <v>155.1</v>
      </c>
      <c r="N57" s="4">
        <v>158.39892</v>
      </c>
      <c r="O57" s="4">
        <v>157.75779</v>
      </c>
      <c r="Q57" s="29">
        <v>2515.2399999999998</v>
      </c>
      <c r="R57" s="29">
        <v>2699.77</v>
      </c>
      <c r="S57" s="29">
        <v>2663.91</v>
      </c>
    </row>
    <row r="58" spans="1:19" x14ac:dyDescent="0.2">
      <c r="A58" s="38">
        <v>38</v>
      </c>
      <c r="B58" s="3" t="s">
        <v>57</v>
      </c>
      <c r="C58" s="3">
        <v>37</v>
      </c>
      <c r="D58" s="3">
        <v>1</v>
      </c>
      <c r="E58" s="3">
        <v>83</v>
      </c>
      <c r="F58" s="31">
        <f t="shared" si="1"/>
        <v>121</v>
      </c>
      <c r="H58" s="4">
        <v>62.03</v>
      </c>
      <c r="I58" s="4">
        <v>44</v>
      </c>
      <c r="J58" s="4">
        <v>63.78</v>
      </c>
      <c r="K58" s="4">
        <v>63.07</v>
      </c>
      <c r="M58" s="4">
        <v>186.96778</v>
      </c>
      <c r="N58" s="4">
        <v>177.93933999999999</v>
      </c>
      <c r="O58" s="4">
        <v>180.80819</v>
      </c>
      <c r="Q58" s="29">
        <v>3011.94</v>
      </c>
      <c r="R58" s="29">
        <v>2843.15</v>
      </c>
      <c r="S58" s="29">
        <v>2896.78</v>
      </c>
    </row>
    <row r="59" spans="1:19" x14ac:dyDescent="0.2">
      <c r="A59" s="38">
        <v>39</v>
      </c>
      <c r="B59" s="3" t="s">
        <v>58</v>
      </c>
      <c r="C59" s="3">
        <v>25</v>
      </c>
      <c r="D59" s="3">
        <v>3</v>
      </c>
      <c r="E59" s="3">
        <v>34</v>
      </c>
      <c r="F59" s="31">
        <f t="shared" si="1"/>
        <v>62</v>
      </c>
      <c r="H59" s="4">
        <v>70.61</v>
      </c>
      <c r="I59" s="4">
        <v>60</v>
      </c>
      <c r="J59" s="4">
        <v>72.91</v>
      </c>
      <c r="K59" s="4">
        <v>71.430000000000007</v>
      </c>
      <c r="M59" s="4">
        <v>256.62777999999997</v>
      </c>
      <c r="N59" s="4">
        <v>215.50935999999999</v>
      </c>
      <c r="O59" s="4">
        <v>230.02173999999999</v>
      </c>
      <c r="Q59" s="29">
        <v>3632.02</v>
      </c>
      <c r="R59" s="29">
        <v>2930.68</v>
      </c>
      <c r="S59" s="29">
        <v>3178.21</v>
      </c>
    </row>
    <row r="60" spans="1:19" x14ac:dyDescent="0.2">
      <c r="A60" s="38">
        <v>40</v>
      </c>
      <c r="B60" s="3" t="s">
        <v>59</v>
      </c>
      <c r="C60" s="3">
        <v>4</v>
      </c>
      <c r="D60" s="3">
        <v>0</v>
      </c>
      <c r="E60" s="3">
        <v>33</v>
      </c>
      <c r="F60" s="31">
        <f t="shared" si="1"/>
        <v>37</v>
      </c>
      <c r="H60" s="4">
        <v>62.25</v>
      </c>
      <c r="I60" s="4">
        <v>0</v>
      </c>
      <c r="J60" s="4">
        <v>63.07</v>
      </c>
      <c r="K60" s="4">
        <v>62.97</v>
      </c>
      <c r="M60" s="4">
        <v>176.25</v>
      </c>
      <c r="N60" s="4">
        <v>189.92788000000002</v>
      </c>
      <c r="O60" s="4">
        <v>188.10416000000001</v>
      </c>
      <c r="Q60" s="29">
        <v>2844.03</v>
      </c>
      <c r="R60" s="29">
        <v>3064.23</v>
      </c>
      <c r="S60" s="29">
        <v>3034.87</v>
      </c>
    </row>
    <row r="61" spans="1:19" x14ac:dyDescent="0.2">
      <c r="A61" s="38">
        <v>41</v>
      </c>
      <c r="B61" s="3" t="s">
        <v>60</v>
      </c>
      <c r="C61" s="3">
        <v>2</v>
      </c>
      <c r="D61" s="3">
        <v>0</v>
      </c>
      <c r="E61" s="3">
        <v>28</v>
      </c>
      <c r="F61" s="31">
        <f t="shared" si="1"/>
        <v>30</v>
      </c>
      <c r="H61" s="4">
        <v>50</v>
      </c>
      <c r="I61" s="4">
        <v>0</v>
      </c>
      <c r="J61" s="4">
        <v>60.23</v>
      </c>
      <c r="K61" s="4">
        <v>59.85</v>
      </c>
      <c r="M61" s="4">
        <v>0</v>
      </c>
      <c r="N61" s="4">
        <v>242.96</v>
      </c>
      <c r="O61" s="4">
        <v>242.57692</v>
      </c>
      <c r="Q61" s="4">
        <v>0</v>
      </c>
      <c r="R61" s="29">
        <v>4160.8900000000003</v>
      </c>
      <c r="S61" s="29">
        <v>4180.09</v>
      </c>
    </row>
    <row r="62" spans="1:19" x14ac:dyDescent="0.2">
      <c r="A62" s="38">
        <v>42</v>
      </c>
      <c r="B62" s="3" t="s">
        <v>61</v>
      </c>
      <c r="C62" s="3">
        <v>87</v>
      </c>
      <c r="D62" s="3">
        <v>1</v>
      </c>
      <c r="E62" s="3">
        <v>3</v>
      </c>
      <c r="F62" s="31">
        <f t="shared" si="1"/>
        <v>91</v>
      </c>
      <c r="H62" s="4">
        <v>89.76</v>
      </c>
      <c r="I62" s="4">
        <v>88</v>
      </c>
      <c r="J62" s="4">
        <v>81</v>
      </c>
      <c r="K62" s="4">
        <v>89.54</v>
      </c>
      <c r="M62" s="4">
        <v>371.15836999999999</v>
      </c>
      <c r="N62" s="4">
        <v>304.5</v>
      </c>
      <c r="O62" s="4">
        <v>369.60818</v>
      </c>
      <c r="Q62" s="29">
        <v>4068.77</v>
      </c>
      <c r="R62" s="29">
        <v>2959.52</v>
      </c>
      <c r="S62" s="29">
        <v>4042.97</v>
      </c>
    </row>
    <row r="63" spans="1:19" x14ac:dyDescent="0.2">
      <c r="A63" s="38">
        <v>43</v>
      </c>
      <c r="B63" s="3" t="s">
        <v>62</v>
      </c>
      <c r="C63" s="3">
        <v>24</v>
      </c>
      <c r="D63" s="3">
        <v>5</v>
      </c>
      <c r="E63" s="3">
        <v>172</v>
      </c>
      <c r="F63" s="31">
        <f t="shared" si="1"/>
        <v>201</v>
      </c>
      <c r="H63" s="4">
        <v>93.64</v>
      </c>
      <c r="I63" s="4">
        <v>70.75</v>
      </c>
      <c r="J63" s="4">
        <v>70.67</v>
      </c>
      <c r="K63" s="4">
        <v>73.56</v>
      </c>
      <c r="M63" s="4">
        <v>341.53181999999998</v>
      </c>
      <c r="N63" s="4">
        <v>264.02003000000002</v>
      </c>
      <c r="O63" s="4">
        <v>276.74584999999996</v>
      </c>
      <c r="Q63" s="29">
        <v>3797.24</v>
      </c>
      <c r="R63" s="29">
        <v>3694.24</v>
      </c>
      <c r="S63" s="29">
        <v>3711.15</v>
      </c>
    </row>
    <row r="64" spans="1:19" x14ac:dyDescent="0.2">
      <c r="A64" s="38">
        <v>44</v>
      </c>
      <c r="B64" s="3" t="s">
        <v>63</v>
      </c>
      <c r="C64" s="3">
        <v>3</v>
      </c>
      <c r="D64" s="3">
        <v>0</v>
      </c>
      <c r="E64" s="3">
        <v>188</v>
      </c>
      <c r="F64" s="31">
        <f t="shared" si="1"/>
        <v>191</v>
      </c>
      <c r="H64" s="4">
        <v>60</v>
      </c>
      <c r="I64" s="4">
        <v>0</v>
      </c>
      <c r="J64" s="4">
        <v>73.209999999999994</v>
      </c>
      <c r="K64" s="4">
        <v>73.13</v>
      </c>
      <c r="M64" s="4">
        <v>678</v>
      </c>
      <c r="N64" s="4">
        <v>252.68132999999997</v>
      </c>
      <c r="O64" s="4">
        <v>255.51679000000001</v>
      </c>
      <c r="Q64" s="29">
        <v>11300</v>
      </c>
      <c r="R64" s="29">
        <v>3517.62</v>
      </c>
      <c r="S64" s="29">
        <v>3569.5</v>
      </c>
    </row>
    <row r="65" spans="1:19" x14ac:dyDescent="0.2">
      <c r="A65" s="38">
        <v>45</v>
      </c>
      <c r="B65" s="3" t="s">
        <v>64</v>
      </c>
      <c r="C65" s="3">
        <v>2</v>
      </c>
      <c r="D65" s="3">
        <v>1</v>
      </c>
      <c r="E65" s="3">
        <v>160</v>
      </c>
      <c r="F65" s="31">
        <f t="shared" si="1"/>
        <v>163</v>
      </c>
      <c r="H65" s="4">
        <v>65.5</v>
      </c>
      <c r="I65" s="4">
        <v>74</v>
      </c>
      <c r="J65" s="4">
        <v>65.2</v>
      </c>
      <c r="K65" s="4">
        <v>65.27</v>
      </c>
      <c r="M65" s="4">
        <v>0</v>
      </c>
      <c r="N65" s="4">
        <v>201.13042999999999</v>
      </c>
      <c r="O65" s="4">
        <v>198.86246</v>
      </c>
      <c r="Q65" s="4">
        <v>0</v>
      </c>
      <c r="R65" s="29">
        <v>3060.3</v>
      </c>
      <c r="S65" s="29">
        <v>3025.89</v>
      </c>
    </row>
    <row r="66" spans="1:19" x14ac:dyDescent="0.2">
      <c r="A66" s="38">
        <v>46</v>
      </c>
      <c r="B66" s="3" t="s">
        <v>65</v>
      </c>
      <c r="C66" s="3">
        <v>3</v>
      </c>
      <c r="D66" s="3">
        <v>0</v>
      </c>
      <c r="E66" s="3">
        <v>152</v>
      </c>
      <c r="F66" s="31">
        <f t="shared" si="1"/>
        <v>155</v>
      </c>
      <c r="H66" s="4">
        <v>47</v>
      </c>
      <c r="I66" s="4">
        <v>0</v>
      </c>
      <c r="J66" s="4">
        <v>62.88</v>
      </c>
      <c r="K66" s="4">
        <v>62.54</v>
      </c>
      <c r="M66" s="4">
        <v>223.13333</v>
      </c>
      <c r="N66" s="4">
        <v>165.6</v>
      </c>
      <c r="O66" s="4">
        <v>168.03099</v>
      </c>
      <c r="Q66" s="29">
        <v>4747.5200000000004</v>
      </c>
      <c r="R66" s="29">
        <v>2591.42</v>
      </c>
      <c r="S66" s="29">
        <v>2682.52</v>
      </c>
    </row>
    <row r="67" spans="1:19" x14ac:dyDescent="0.2">
      <c r="A67" s="38">
        <v>47</v>
      </c>
      <c r="B67" s="3" t="s">
        <v>66</v>
      </c>
      <c r="C67" s="3">
        <v>0</v>
      </c>
      <c r="D67" s="3">
        <v>0</v>
      </c>
      <c r="E67" s="3">
        <v>1</v>
      </c>
      <c r="F67" s="31">
        <f t="shared" si="1"/>
        <v>1</v>
      </c>
      <c r="H67" s="4">
        <v>0</v>
      </c>
      <c r="I67" s="4">
        <v>0</v>
      </c>
      <c r="J67" s="4">
        <v>90</v>
      </c>
      <c r="K67" s="4">
        <v>90</v>
      </c>
      <c r="M67" s="4">
        <v>0</v>
      </c>
      <c r="N67" s="4">
        <v>0</v>
      </c>
      <c r="O67" s="4">
        <v>0</v>
      </c>
      <c r="Q67" s="4">
        <v>0</v>
      </c>
      <c r="R67" s="29">
        <v>0</v>
      </c>
      <c r="S67" s="29">
        <v>0</v>
      </c>
    </row>
    <row r="68" spans="1:19" x14ac:dyDescent="0.2">
      <c r="A68" s="38">
        <v>48</v>
      </c>
      <c r="B68" s="3" t="s">
        <v>67</v>
      </c>
      <c r="C68" s="3">
        <v>0</v>
      </c>
      <c r="D68" s="3">
        <v>0</v>
      </c>
      <c r="E68" s="3">
        <v>88</v>
      </c>
      <c r="F68" s="31">
        <f t="shared" si="1"/>
        <v>88</v>
      </c>
      <c r="H68" s="4">
        <v>0</v>
      </c>
      <c r="I68" s="4">
        <v>0</v>
      </c>
      <c r="J68" s="4">
        <v>73.92</v>
      </c>
      <c r="K68" s="4">
        <v>73.92</v>
      </c>
      <c r="M68" s="4">
        <v>0</v>
      </c>
      <c r="N68" s="4">
        <v>210.78113000000002</v>
      </c>
      <c r="O68" s="4">
        <v>210.78113000000002</v>
      </c>
      <c r="Q68" s="4">
        <v>0</v>
      </c>
      <c r="R68" s="29">
        <v>2857.41</v>
      </c>
      <c r="S68" s="29">
        <v>2857.41</v>
      </c>
    </row>
    <row r="69" spans="1:19" x14ac:dyDescent="0.2">
      <c r="A69" s="38">
        <v>49</v>
      </c>
      <c r="B69" s="3" t="s">
        <v>68</v>
      </c>
      <c r="C69" s="3">
        <v>0</v>
      </c>
      <c r="D69" s="3">
        <v>0</v>
      </c>
      <c r="E69" s="3">
        <v>26</v>
      </c>
      <c r="F69" s="31">
        <f t="shared" si="1"/>
        <v>26</v>
      </c>
      <c r="H69" s="4">
        <v>0</v>
      </c>
      <c r="I69" s="4">
        <v>0</v>
      </c>
      <c r="J69" s="4">
        <v>70.38</v>
      </c>
      <c r="K69" s="4">
        <v>70.38</v>
      </c>
      <c r="M69" s="4">
        <v>0</v>
      </c>
      <c r="N69" s="4">
        <v>184.55</v>
      </c>
      <c r="O69" s="4">
        <v>184.55</v>
      </c>
      <c r="Q69" s="4">
        <v>0</v>
      </c>
      <c r="R69" s="29">
        <v>2843.09</v>
      </c>
      <c r="S69" s="29">
        <v>2843.09</v>
      </c>
    </row>
    <row r="70" spans="1:19" x14ac:dyDescent="0.2">
      <c r="A70" s="38">
        <v>50</v>
      </c>
      <c r="B70" s="3" t="s">
        <v>69</v>
      </c>
      <c r="C70" s="3">
        <v>0</v>
      </c>
      <c r="D70" s="3">
        <v>0</v>
      </c>
      <c r="E70" s="3">
        <v>168</v>
      </c>
      <c r="F70" s="31">
        <f t="shared" si="1"/>
        <v>168</v>
      </c>
      <c r="H70" s="4">
        <v>0</v>
      </c>
      <c r="I70" s="4">
        <v>0</v>
      </c>
      <c r="J70" s="4">
        <v>57.73</v>
      </c>
      <c r="K70" s="4">
        <v>57.73</v>
      </c>
      <c r="M70" s="4">
        <v>0</v>
      </c>
      <c r="N70" s="4">
        <v>133.66271</v>
      </c>
      <c r="O70" s="4">
        <v>133.66271</v>
      </c>
      <c r="Q70" s="4">
        <v>0</v>
      </c>
      <c r="R70" s="29">
        <v>2333.9299999999998</v>
      </c>
      <c r="S70" s="29">
        <v>2333.9299999999998</v>
      </c>
    </row>
    <row r="71" spans="1:19" x14ac:dyDescent="0.2">
      <c r="A71" s="38">
        <v>51</v>
      </c>
      <c r="B71" s="3" t="s">
        <v>70</v>
      </c>
      <c r="C71" s="3">
        <v>1</v>
      </c>
      <c r="D71" s="3">
        <v>0</v>
      </c>
      <c r="E71" s="3">
        <v>135</v>
      </c>
      <c r="F71" s="31">
        <f t="shared" si="1"/>
        <v>136</v>
      </c>
      <c r="H71" s="4">
        <v>66</v>
      </c>
      <c r="I71" s="4">
        <v>0</v>
      </c>
      <c r="J71" s="4">
        <v>60.6</v>
      </c>
      <c r="K71" s="4">
        <v>60.64</v>
      </c>
      <c r="M71" s="4">
        <v>0</v>
      </c>
      <c r="N71" s="4">
        <v>159.17746</v>
      </c>
      <c r="O71" s="4">
        <v>159.72300000000001</v>
      </c>
      <c r="Q71" s="4">
        <v>0</v>
      </c>
      <c r="R71" s="29">
        <v>2599.4699999999998</v>
      </c>
      <c r="S71" s="29">
        <v>2604.06</v>
      </c>
    </row>
    <row r="72" spans="1:19" x14ac:dyDescent="0.2">
      <c r="A72" s="38">
        <v>52</v>
      </c>
      <c r="B72" s="3" t="s">
        <v>71</v>
      </c>
      <c r="C72" s="3">
        <v>5</v>
      </c>
      <c r="D72" s="3">
        <v>0</v>
      </c>
      <c r="E72" s="3">
        <v>231</v>
      </c>
      <c r="F72" s="31">
        <f t="shared" si="1"/>
        <v>236</v>
      </c>
      <c r="H72" s="4">
        <v>48.5</v>
      </c>
      <c r="I72" s="4">
        <v>0</v>
      </c>
      <c r="J72" s="4">
        <v>60.36</v>
      </c>
      <c r="K72" s="4">
        <v>60.24</v>
      </c>
      <c r="M72" s="4">
        <v>182.5</v>
      </c>
      <c r="N72" s="4">
        <v>165.87282000000002</v>
      </c>
      <c r="O72" s="4">
        <v>166.07809</v>
      </c>
      <c r="Q72" s="29">
        <v>3739.36</v>
      </c>
      <c r="R72" s="29">
        <v>2791.56</v>
      </c>
      <c r="S72" s="29">
        <v>2803.26</v>
      </c>
    </row>
    <row r="73" spans="1:19" x14ac:dyDescent="0.2">
      <c r="A73" s="38">
        <v>53</v>
      </c>
      <c r="B73" s="3" t="s">
        <v>72</v>
      </c>
      <c r="C73" s="3">
        <v>0</v>
      </c>
      <c r="D73" s="3">
        <v>0</v>
      </c>
      <c r="E73" s="3">
        <v>89</v>
      </c>
      <c r="F73" s="31">
        <f t="shared" si="1"/>
        <v>89</v>
      </c>
      <c r="H73" s="4">
        <v>0</v>
      </c>
      <c r="I73" s="4">
        <v>0</v>
      </c>
      <c r="J73" s="4">
        <v>60.9</v>
      </c>
      <c r="K73" s="4">
        <v>60.9</v>
      </c>
      <c r="M73" s="4">
        <v>0</v>
      </c>
      <c r="N73" s="4">
        <v>129.59079</v>
      </c>
      <c r="O73" s="4">
        <v>129.59079</v>
      </c>
      <c r="Q73" s="4">
        <v>0</v>
      </c>
      <c r="R73" s="29">
        <v>2178.62</v>
      </c>
      <c r="S73" s="29">
        <v>2178.62</v>
      </c>
    </row>
    <row r="74" spans="1:19" x14ac:dyDescent="0.2">
      <c r="A74" s="38">
        <v>54</v>
      </c>
      <c r="B74" s="3" t="s">
        <v>73</v>
      </c>
      <c r="C74" s="3">
        <v>0</v>
      </c>
      <c r="D74" s="3">
        <v>0</v>
      </c>
      <c r="E74" s="3">
        <v>10</v>
      </c>
      <c r="F74" s="31">
        <f t="shared" si="1"/>
        <v>10</v>
      </c>
      <c r="H74" s="4">
        <v>0</v>
      </c>
      <c r="I74" s="4">
        <v>0</v>
      </c>
      <c r="J74" s="4">
        <v>96.33</v>
      </c>
      <c r="K74" s="4">
        <v>96.33</v>
      </c>
      <c r="M74" s="4">
        <v>0</v>
      </c>
      <c r="N74" s="4">
        <v>151.9</v>
      </c>
      <c r="O74" s="4">
        <v>151.9</v>
      </c>
      <c r="Q74" s="4">
        <v>0</v>
      </c>
      <c r="R74" s="29">
        <v>1472.24</v>
      </c>
      <c r="S74" s="29">
        <v>1472.24</v>
      </c>
    </row>
    <row r="75" spans="1:19" x14ac:dyDescent="0.2">
      <c r="A75" s="38">
        <v>55</v>
      </c>
      <c r="B75" s="3" t="s">
        <v>74</v>
      </c>
      <c r="C75" s="3">
        <v>0</v>
      </c>
      <c r="D75" s="3">
        <v>0</v>
      </c>
      <c r="E75" s="3">
        <v>152</v>
      </c>
      <c r="F75" s="31">
        <f t="shared" si="1"/>
        <v>152</v>
      </c>
      <c r="H75" s="4">
        <v>0</v>
      </c>
      <c r="I75" s="4">
        <v>0</v>
      </c>
      <c r="J75" s="4">
        <v>59.41</v>
      </c>
      <c r="K75" s="4">
        <v>59.41</v>
      </c>
      <c r="M75" s="4">
        <v>0</v>
      </c>
      <c r="N75" s="4">
        <v>108.34567</v>
      </c>
      <c r="O75" s="4">
        <v>108.34567</v>
      </c>
      <c r="Q75" s="4">
        <v>0</v>
      </c>
      <c r="R75" s="29">
        <v>1801.57</v>
      </c>
      <c r="S75" s="29">
        <v>1801.57</v>
      </c>
    </row>
    <row r="76" spans="1:19" x14ac:dyDescent="0.2">
      <c r="A76" s="38">
        <v>56</v>
      </c>
      <c r="B76" s="3" t="s">
        <v>75</v>
      </c>
      <c r="C76" s="3">
        <v>0</v>
      </c>
      <c r="D76" s="3">
        <v>0</v>
      </c>
      <c r="E76" s="3">
        <v>4</v>
      </c>
      <c r="F76" s="31">
        <f t="shared" si="1"/>
        <v>4</v>
      </c>
      <c r="H76" s="4">
        <v>0</v>
      </c>
      <c r="I76" s="4">
        <v>0</v>
      </c>
      <c r="J76" s="4">
        <v>80.5</v>
      </c>
      <c r="K76" s="4">
        <v>80.5</v>
      </c>
      <c r="M76" s="4">
        <v>0</v>
      </c>
      <c r="N76" s="4">
        <v>195</v>
      </c>
      <c r="O76" s="4">
        <v>195</v>
      </c>
      <c r="Q76" s="4">
        <v>0</v>
      </c>
      <c r="R76" s="29">
        <v>2166.67</v>
      </c>
      <c r="S76" s="29">
        <v>2166.67</v>
      </c>
    </row>
    <row r="77" spans="1:19" x14ac:dyDescent="0.2">
      <c r="A77" s="38">
        <v>57</v>
      </c>
      <c r="B77" s="3" t="s">
        <v>76</v>
      </c>
      <c r="C77" s="3">
        <v>20</v>
      </c>
      <c r="D77" s="3">
        <v>0</v>
      </c>
      <c r="E77" s="3">
        <v>137</v>
      </c>
      <c r="F77" s="31">
        <f t="shared" si="1"/>
        <v>157</v>
      </c>
      <c r="H77" s="4">
        <v>62.3</v>
      </c>
      <c r="I77" s="4">
        <v>0</v>
      </c>
      <c r="J77" s="4">
        <v>58.79</v>
      </c>
      <c r="K77" s="4">
        <v>59.26</v>
      </c>
      <c r="M77" s="4">
        <v>234.37615</v>
      </c>
      <c r="N77" s="4">
        <v>119.812</v>
      </c>
      <c r="O77" s="4">
        <v>147.08918</v>
      </c>
      <c r="Q77" s="29">
        <v>3857.82</v>
      </c>
      <c r="R77" s="29">
        <v>2070.5100000000002</v>
      </c>
      <c r="S77" s="29">
        <v>2496.06</v>
      </c>
    </row>
    <row r="78" spans="1:19" x14ac:dyDescent="0.2">
      <c r="A78" s="38">
        <v>58</v>
      </c>
      <c r="B78" s="3" t="s">
        <v>77</v>
      </c>
      <c r="C78" s="3">
        <v>0</v>
      </c>
      <c r="D78" s="3">
        <v>0</v>
      </c>
      <c r="E78" s="3">
        <v>27</v>
      </c>
      <c r="F78" s="31">
        <f t="shared" si="1"/>
        <v>27</v>
      </c>
      <c r="H78" s="4">
        <v>0</v>
      </c>
      <c r="I78" s="4">
        <v>0</v>
      </c>
      <c r="J78" s="4">
        <v>70.83</v>
      </c>
      <c r="K78" s="4">
        <v>70.83</v>
      </c>
      <c r="M78" s="4">
        <v>0</v>
      </c>
      <c r="N78" s="4">
        <v>0</v>
      </c>
      <c r="O78" s="4">
        <v>0</v>
      </c>
      <c r="Q78" s="4">
        <v>0</v>
      </c>
      <c r="R78" s="29">
        <v>0</v>
      </c>
      <c r="S78" s="29">
        <v>0</v>
      </c>
    </row>
    <row r="79" spans="1:19" x14ac:dyDescent="0.2">
      <c r="A79" s="38">
        <v>59</v>
      </c>
      <c r="B79" s="3" t="s">
        <v>78</v>
      </c>
      <c r="C79" s="3">
        <v>11</v>
      </c>
      <c r="D79" s="3">
        <v>7</v>
      </c>
      <c r="E79" s="3">
        <v>105</v>
      </c>
      <c r="F79" s="31">
        <f t="shared" si="1"/>
        <v>123</v>
      </c>
      <c r="H79" s="4">
        <v>81.900000000000006</v>
      </c>
      <c r="I79" s="4">
        <v>78.290000000000006</v>
      </c>
      <c r="J79" s="4">
        <v>70.510000000000005</v>
      </c>
      <c r="K79" s="4">
        <v>71.97</v>
      </c>
      <c r="M79" s="4">
        <v>151.05376000000001</v>
      </c>
      <c r="N79" s="4">
        <v>174.97393</v>
      </c>
      <c r="O79" s="4">
        <v>172.65158</v>
      </c>
      <c r="Q79" s="29">
        <v>1804.12</v>
      </c>
      <c r="R79" s="29">
        <v>2432.21</v>
      </c>
      <c r="S79" s="29">
        <v>2371.23</v>
      </c>
    </row>
    <row r="80" spans="1:19" x14ac:dyDescent="0.2">
      <c r="A80" s="38">
        <v>60</v>
      </c>
      <c r="B80" s="3" t="s">
        <v>17</v>
      </c>
      <c r="C80" s="3">
        <v>13</v>
      </c>
      <c r="D80" s="3">
        <v>0</v>
      </c>
      <c r="E80" s="3">
        <v>394</v>
      </c>
      <c r="F80" s="31">
        <f t="shared" si="1"/>
        <v>407</v>
      </c>
      <c r="H80" s="4">
        <v>89.38</v>
      </c>
      <c r="I80" s="4">
        <v>0</v>
      </c>
      <c r="J80" s="4">
        <v>75.5</v>
      </c>
      <c r="K80" s="4">
        <v>75.989999999999995</v>
      </c>
      <c r="M80" s="4">
        <v>427.65728999999999</v>
      </c>
      <c r="N80" s="4">
        <v>290.74121000000002</v>
      </c>
      <c r="O80" s="4">
        <v>298.25137000000001</v>
      </c>
      <c r="Q80" s="29">
        <v>4808.59</v>
      </c>
      <c r="R80" s="29">
        <v>3766.26</v>
      </c>
      <c r="S80" s="29">
        <v>3823.43</v>
      </c>
    </row>
    <row r="81" spans="1:19" x14ac:dyDescent="0.2">
      <c r="A81" s="38">
        <v>61</v>
      </c>
      <c r="B81" s="3" t="s">
        <v>79</v>
      </c>
      <c r="C81" s="3">
        <v>0</v>
      </c>
      <c r="D81" s="3">
        <v>0</v>
      </c>
      <c r="E81" s="3">
        <v>200</v>
      </c>
      <c r="F81" s="31">
        <f t="shared" si="1"/>
        <v>200</v>
      </c>
      <c r="H81" s="4">
        <v>0</v>
      </c>
      <c r="I81" s="4">
        <v>0</v>
      </c>
      <c r="J81" s="4">
        <v>68.91</v>
      </c>
      <c r="K81" s="4">
        <v>68.91</v>
      </c>
      <c r="M81" s="4">
        <v>0</v>
      </c>
      <c r="N81" s="4">
        <v>243.74788000000001</v>
      </c>
      <c r="O81" s="4">
        <v>243.74788000000001</v>
      </c>
      <c r="Q81" s="4">
        <v>0</v>
      </c>
      <c r="R81" s="29">
        <v>3664.85</v>
      </c>
      <c r="S81" s="29">
        <v>3664.85</v>
      </c>
    </row>
    <row r="82" spans="1:19" x14ac:dyDescent="0.2">
      <c r="A82" s="38">
        <v>62</v>
      </c>
      <c r="B82" s="3" t="s">
        <v>80</v>
      </c>
      <c r="C82" s="3">
        <v>8</v>
      </c>
      <c r="D82" s="3">
        <v>0</v>
      </c>
      <c r="E82" s="3">
        <v>117</v>
      </c>
      <c r="F82" s="31">
        <f t="shared" si="1"/>
        <v>125</v>
      </c>
      <c r="H82" s="4">
        <v>93.86</v>
      </c>
      <c r="I82" s="4">
        <v>0</v>
      </c>
      <c r="J82" s="4">
        <v>72.31</v>
      </c>
      <c r="K82" s="4">
        <v>73.59</v>
      </c>
      <c r="M82" s="4">
        <v>391.36086</v>
      </c>
      <c r="N82" s="4">
        <v>257.80648000000002</v>
      </c>
      <c r="O82" s="4">
        <v>269.07009999999997</v>
      </c>
      <c r="Q82" s="29">
        <v>4060.39</v>
      </c>
      <c r="R82" s="29">
        <v>3584.21</v>
      </c>
      <c r="S82" s="29">
        <v>3624.37</v>
      </c>
    </row>
    <row r="83" spans="1:19" x14ac:dyDescent="0.2">
      <c r="A83" s="38">
        <v>63</v>
      </c>
      <c r="B83" s="2" t="s">
        <v>81</v>
      </c>
      <c r="C83" s="3">
        <v>4</v>
      </c>
      <c r="D83" s="3">
        <v>0</v>
      </c>
      <c r="E83" s="3">
        <v>199</v>
      </c>
      <c r="F83" s="31">
        <f t="shared" si="1"/>
        <v>203</v>
      </c>
      <c r="H83" s="4">
        <v>82</v>
      </c>
      <c r="I83" s="4">
        <v>0</v>
      </c>
      <c r="J83" s="4">
        <v>77.239999999999995</v>
      </c>
      <c r="K83" s="4">
        <v>77.319999999999993</v>
      </c>
      <c r="M83" s="4">
        <v>418</v>
      </c>
      <c r="N83" s="4">
        <v>309.12822</v>
      </c>
      <c r="O83" s="4">
        <v>311.23541999999998</v>
      </c>
      <c r="Q83" s="29">
        <v>5109.3</v>
      </c>
      <c r="R83" s="29">
        <v>3961.09</v>
      </c>
      <c r="S83" s="29">
        <v>3983.31</v>
      </c>
    </row>
    <row r="84" spans="1:19" x14ac:dyDescent="0.2">
      <c r="A84" s="38">
        <v>64</v>
      </c>
      <c r="B84" s="2" t="s">
        <v>82</v>
      </c>
      <c r="C84" s="3">
        <v>2</v>
      </c>
      <c r="D84" s="3">
        <v>0</v>
      </c>
      <c r="E84" s="3">
        <v>300</v>
      </c>
      <c r="F84" s="31">
        <f t="shared" si="1"/>
        <v>302</v>
      </c>
      <c r="H84" s="4">
        <v>62</v>
      </c>
      <c r="I84" s="4">
        <v>0</v>
      </c>
      <c r="J84" s="4">
        <v>73.03</v>
      </c>
      <c r="K84" s="4">
        <v>72.95</v>
      </c>
      <c r="M84" s="4">
        <v>0</v>
      </c>
      <c r="N84" s="4">
        <v>291.49079</v>
      </c>
      <c r="O84" s="4">
        <v>291.71595000000002</v>
      </c>
      <c r="Q84" s="4">
        <v>0</v>
      </c>
      <c r="R84" s="29">
        <v>4143.71</v>
      </c>
      <c r="S84" s="29">
        <v>4150.8900000000003</v>
      </c>
    </row>
    <row r="85" spans="1:19" x14ac:dyDescent="0.2">
      <c r="A85" s="38">
        <v>65</v>
      </c>
      <c r="B85" s="2" t="s">
        <v>83</v>
      </c>
      <c r="C85" s="3">
        <v>15</v>
      </c>
      <c r="D85" s="3">
        <v>0</v>
      </c>
      <c r="E85" s="3">
        <v>169</v>
      </c>
      <c r="F85" s="31">
        <f t="shared" ref="F85:F93" si="2">SUM(C85:E85)</f>
        <v>184</v>
      </c>
      <c r="H85" s="4">
        <v>61.2</v>
      </c>
      <c r="I85" s="4">
        <v>0</v>
      </c>
      <c r="J85" s="4">
        <v>72.37</v>
      </c>
      <c r="K85" s="4">
        <v>71.39</v>
      </c>
      <c r="M85" s="4">
        <v>280.22666999999996</v>
      </c>
      <c r="N85" s="4">
        <v>267.80025000000001</v>
      </c>
      <c r="O85" s="4">
        <v>269.84856000000002</v>
      </c>
      <c r="Q85" s="29">
        <v>4486.34</v>
      </c>
      <c r="R85" s="29">
        <v>3902.25</v>
      </c>
      <c r="S85" s="29">
        <v>3998.53</v>
      </c>
    </row>
    <row r="86" spans="1:19" x14ac:dyDescent="0.2">
      <c r="A86" s="38">
        <v>66</v>
      </c>
      <c r="B86" s="2" t="s">
        <v>84</v>
      </c>
      <c r="C86" s="3">
        <v>19</v>
      </c>
      <c r="D86" s="3">
        <v>1</v>
      </c>
      <c r="E86" s="3">
        <v>123</v>
      </c>
      <c r="F86" s="31">
        <f t="shared" si="2"/>
        <v>143</v>
      </c>
      <c r="H86" s="4">
        <v>98.68</v>
      </c>
      <c r="I86" s="4">
        <v>56</v>
      </c>
      <c r="J86" s="4">
        <v>77.47</v>
      </c>
      <c r="K86" s="4">
        <v>80.36</v>
      </c>
      <c r="M86" s="4">
        <v>635.45263</v>
      </c>
      <c r="N86" s="4">
        <v>368.12270000000001</v>
      </c>
      <c r="O86" s="4">
        <v>407.80448999999999</v>
      </c>
      <c r="Q86" s="29">
        <v>6274.96</v>
      </c>
      <c r="R86" s="29">
        <v>4734.2299999999996</v>
      </c>
      <c r="S86" s="29">
        <v>4962.93</v>
      </c>
    </row>
    <row r="87" spans="1:19" x14ac:dyDescent="0.2">
      <c r="A87" s="38">
        <v>67</v>
      </c>
      <c r="B87" s="2" t="s">
        <v>85</v>
      </c>
      <c r="C87" s="3">
        <v>1</v>
      </c>
      <c r="D87" s="3">
        <v>0</v>
      </c>
      <c r="E87" s="3">
        <v>49</v>
      </c>
      <c r="F87" s="31">
        <f t="shared" si="2"/>
        <v>50</v>
      </c>
      <c r="H87" s="4">
        <v>85</v>
      </c>
      <c r="I87" s="4">
        <v>0</v>
      </c>
      <c r="J87" s="4">
        <v>102.55</v>
      </c>
      <c r="K87" s="4">
        <v>102.18</v>
      </c>
      <c r="M87" s="4">
        <v>0</v>
      </c>
      <c r="N87" s="4">
        <v>554.49562000000003</v>
      </c>
      <c r="O87" s="4">
        <v>545.44362999999998</v>
      </c>
      <c r="Q87" s="4">
        <v>0</v>
      </c>
      <c r="R87" s="29">
        <v>5465.9</v>
      </c>
      <c r="S87" s="29">
        <v>5381.44</v>
      </c>
    </row>
    <row r="88" spans="1:19" x14ac:dyDescent="0.2">
      <c r="A88" s="38">
        <v>68</v>
      </c>
      <c r="B88" s="2" t="s">
        <v>86</v>
      </c>
      <c r="C88" s="3">
        <v>60</v>
      </c>
      <c r="D88" s="3">
        <v>29</v>
      </c>
      <c r="E88" s="3">
        <v>245</v>
      </c>
      <c r="F88" s="31">
        <f t="shared" si="2"/>
        <v>334</v>
      </c>
      <c r="H88" s="4">
        <v>62.43</v>
      </c>
      <c r="I88" s="4">
        <v>56.93</v>
      </c>
      <c r="J88" s="4">
        <v>75.14</v>
      </c>
      <c r="K88" s="4">
        <v>71.3</v>
      </c>
      <c r="M88" s="4">
        <v>398.85346999999996</v>
      </c>
      <c r="N88" s="4">
        <v>376.78472999999997</v>
      </c>
      <c r="O88" s="4">
        <v>381.29172999999997</v>
      </c>
      <c r="Q88" s="29">
        <v>6418.27</v>
      </c>
      <c r="R88" s="29">
        <v>5056.2299999999996</v>
      </c>
      <c r="S88" s="29">
        <v>5334.39</v>
      </c>
    </row>
    <row r="89" spans="1:19" x14ac:dyDescent="0.2">
      <c r="A89" s="38">
        <v>69</v>
      </c>
      <c r="B89" s="2" t="s">
        <v>87</v>
      </c>
      <c r="C89" s="3">
        <v>37</v>
      </c>
      <c r="D89" s="3">
        <v>4</v>
      </c>
      <c r="E89" s="3">
        <v>125</v>
      </c>
      <c r="F89" s="31">
        <f t="shared" si="2"/>
        <v>166</v>
      </c>
      <c r="H89" s="4">
        <v>71.290000000000006</v>
      </c>
      <c r="I89" s="4">
        <v>70.5</v>
      </c>
      <c r="J89" s="4">
        <v>103.17</v>
      </c>
      <c r="K89" s="4">
        <v>95.18</v>
      </c>
      <c r="M89" s="4">
        <v>437.3</v>
      </c>
      <c r="N89" s="4">
        <v>696.24432999999999</v>
      </c>
      <c r="O89" s="4">
        <v>631.96736999999996</v>
      </c>
      <c r="Q89" s="29">
        <v>6156.51</v>
      </c>
      <c r="R89" s="29">
        <v>6565.88</v>
      </c>
      <c r="S89" s="29">
        <v>6464.26</v>
      </c>
    </row>
    <row r="90" spans="1:19" x14ac:dyDescent="0.2">
      <c r="A90" s="38">
        <v>70</v>
      </c>
      <c r="B90" s="2" t="s">
        <v>88</v>
      </c>
      <c r="C90" s="3">
        <v>23</v>
      </c>
      <c r="D90" s="3">
        <v>3</v>
      </c>
      <c r="E90" s="3">
        <v>261</v>
      </c>
      <c r="F90" s="31">
        <f t="shared" si="2"/>
        <v>287</v>
      </c>
      <c r="H90" s="4">
        <v>101.73</v>
      </c>
      <c r="I90" s="4">
        <v>73</v>
      </c>
      <c r="J90" s="4">
        <v>59.81</v>
      </c>
      <c r="K90" s="4">
        <v>63.54</v>
      </c>
      <c r="M90" s="4">
        <v>615.23543000000006</v>
      </c>
      <c r="N90" s="4">
        <v>150.6978</v>
      </c>
      <c r="O90" s="4">
        <v>195.71907000000002</v>
      </c>
      <c r="Q90" s="29">
        <v>4108.97</v>
      </c>
      <c r="R90" s="29">
        <v>2343.5100000000002</v>
      </c>
      <c r="S90" s="29">
        <v>2514.61</v>
      </c>
    </row>
    <row r="91" spans="1:19" x14ac:dyDescent="0.2">
      <c r="A91" s="38">
        <v>71</v>
      </c>
      <c r="B91" s="2" t="s">
        <v>89</v>
      </c>
      <c r="C91" s="3">
        <v>23</v>
      </c>
      <c r="D91" s="3">
        <v>9</v>
      </c>
      <c r="E91" s="3">
        <v>131</v>
      </c>
      <c r="F91" s="31">
        <f t="shared" si="2"/>
        <v>163</v>
      </c>
      <c r="H91" s="4">
        <v>72.7</v>
      </c>
      <c r="I91" s="4">
        <v>65.86</v>
      </c>
      <c r="J91" s="4">
        <v>79.2</v>
      </c>
      <c r="K91" s="4">
        <v>77.62</v>
      </c>
      <c r="M91" s="4">
        <v>302.91230999999999</v>
      </c>
      <c r="N91" s="4">
        <v>392.03428000000002</v>
      </c>
      <c r="O91" s="4">
        <v>375.50359000000003</v>
      </c>
      <c r="Q91" s="29">
        <v>3891.06</v>
      </c>
      <c r="R91" s="29">
        <v>4751.7</v>
      </c>
      <c r="S91" s="29">
        <v>4592.07</v>
      </c>
    </row>
    <row r="92" spans="1:19" x14ac:dyDescent="0.2">
      <c r="A92" s="38">
        <v>72</v>
      </c>
      <c r="B92" s="2" t="s">
        <v>90</v>
      </c>
      <c r="C92" s="3">
        <v>1</v>
      </c>
      <c r="D92" s="3">
        <v>0</v>
      </c>
      <c r="E92" s="3">
        <v>190</v>
      </c>
      <c r="F92" s="31">
        <f t="shared" si="2"/>
        <v>191</v>
      </c>
      <c r="H92" s="4">
        <v>42</v>
      </c>
      <c r="I92" s="4">
        <v>0</v>
      </c>
      <c r="J92" s="4">
        <v>71.099999999999994</v>
      </c>
      <c r="K92" s="4">
        <v>70.94</v>
      </c>
      <c r="M92" s="4">
        <v>0</v>
      </c>
      <c r="N92" s="4">
        <v>230.59524999999999</v>
      </c>
      <c r="O92" s="4">
        <v>229.73621</v>
      </c>
      <c r="Q92" s="4">
        <v>0</v>
      </c>
      <c r="R92" s="29">
        <v>3249.23</v>
      </c>
      <c r="S92" s="29">
        <v>3254.24</v>
      </c>
    </row>
    <row r="93" spans="1:19" x14ac:dyDescent="0.2">
      <c r="A93" s="38">
        <v>73</v>
      </c>
      <c r="B93" s="26" t="s">
        <v>91</v>
      </c>
      <c r="C93" s="25">
        <v>4</v>
      </c>
      <c r="D93" s="25">
        <v>1</v>
      </c>
      <c r="E93" s="25">
        <v>216</v>
      </c>
      <c r="F93" s="30">
        <f t="shared" si="2"/>
        <v>221</v>
      </c>
      <c r="G93" s="26"/>
      <c r="H93" s="27">
        <v>63.5</v>
      </c>
      <c r="I93" s="27">
        <v>85</v>
      </c>
      <c r="J93" s="27">
        <v>70.88</v>
      </c>
      <c r="K93" s="27">
        <v>70.8</v>
      </c>
      <c r="L93" s="27"/>
      <c r="M93" s="27">
        <v>203.125</v>
      </c>
      <c r="N93" s="27">
        <v>177.87021999999999</v>
      </c>
      <c r="O93" s="27">
        <v>178.72630999999998</v>
      </c>
      <c r="P93" s="27"/>
      <c r="Q93" s="35">
        <v>3214.75</v>
      </c>
      <c r="R93" s="35">
        <v>2565.33</v>
      </c>
      <c r="S93" s="35">
        <v>2587.34</v>
      </c>
    </row>
    <row r="95" spans="1:19" x14ac:dyDescent="0.2">
      <c r="B95" s="39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EE45-46A2-4EE9-B69F-6ECD4DAF678D}">
  <dimension ref="A1:S95"/>
  <sheetViews>
    <sheetView workbookViewId="0"/>
  </sheetViews>
  <sheetFormatPr defaultColWidth="11.42578125" defaultRowHeight="12" x14ac:dyDescent="0.2"/>
  <cols>
    <col min="1" max="1" width="4.85546875" style="2" customWidth="1"/>
    <col min="2" max="2" width="35.7109375" style="2" customWidth="1"/>
    <col min="3" max="6" width="10.7109375" style="3" customWidth="1"/>
    <col min="7" max="7" width="2.7109375" style="2" customWidth="1"/>
    <col min="8" max="11" width="10.7109375" style="4" customWidth="1"/>
    <col min="12" max="12" width="2.7109375" style="4" customWidth="1"/>
    <col min="13" max="15" width="10.7109375" style="4" customWidth="1"/>
    <col min="16" max="16" width="2.7109375" style="4" customWidth="1"/>
    <col min="17" max="19" width="10.7109375" style="4" customWidth="1"/>
    <col min="20" max="16384" width="11.42578125" style="2"/>
  </cols>
  <sheetData>
    <row r="1" spans="1:19" ht="15" x14ac:dyDescent="0.25">
      <c r="A1" s="1" t="s">
        <v>0</v>
      </c>
    </row>
    <row r="2" spans="1:19" ht="12.75" x14ac:dyDescent="0.2">
      <c r="A2" s="5" t="s">
        <v>99</v>
      </c>
    </row>
    <row r="3" spans="1:19" x14ac:dyDescent="0.2">
      <c r="A3" s="2" t="s">
        <v>97</v>
      </c>
    </row>
    <row r="4" spans="1:19" ht="13.5" x14ac:dyDescent="0.2">
      <c r="C4" s="6" t="s">
        <v>1</v>
      </c>
      <c r="D4" s="7"/>
      <c r="E4" s="7"/>
      <c r="F4" s="7"/>
      <c r="H4" s="8" t="s">
        <v>96</v>
      </c>
      <c r="I4" s="9"/>
      <c r="J4" s="9"/>
      <c r="K4" s="9"/>
      <c r="M4" s="8" t="s">
        <v>92</v>
      </c>
      <c r="N4" s="8"/>
      <c r="O4" s="8"/>
      <c r="Q4" s="8" t="s">
        <v>93</v>
      </c>
      <c r="R4" s="8"/>
      <c r="S4" s="8"/>
    </row>
    <row r="5" spans="1:19" s="15" customFormat="1" ht="24" x14ac:dyDescent="0.2">
      <c r="A5" s="10" t="s">
        <v>2</v>
      </c>
      <c r="B5" s="10"/>
      <c r="C5" s="11" t="s">
        <v>3</v>
      </c>
      <c r="D5" s="11" t="s">
        <v>4</v>
      </c>
      <c r="E5" s="11" t="s">
        <v>5</v>
      </c>
      <c r="F5" s="11" t="s">
        <v>6</v>
      </c>
      <c r="G5" s="12"/>
      <c r="H5" s="13" t="s">
        <v>3</v>
      </c>
      <c r="I5" s="13" t="s">
        <v>4</v>
      </c>
      <c r="J5" s="13" t="s">
        <v>5</v>
      </c>
      <c r="K5" s="13" t="s">
        <v>6</v>
      </c>
      <c r="L5" s="14"/>
      <c r="M5" s="13" t="s">
        <v>7</v>
      </c>
      <c r="N5" s="13" t="s">
        <v>5</v>
      </c>
      <c r="O5" s="13" t="s">
        <v>6</v>
      </c>
      <c r="P5" s="14"/>
      <c r="Q5" s="13" t="s">
        <v>7</v>
      </c>
      <c r="R5" s="13" t="s">
        <v>5</v>
      </c>
      <c r="S5" s="13" t="s">
        <v>6</v>
      </c>
    </row>
    <row r="6" spans="1:19" s="15" customFormat="1" x14ac:dyDescent="0.2">
      <c r="B6" s="36" t="s">
        <v>94</v>
      </c>
      <c r="C6" s="3">
        <v>1347</v>
      </c>
      <c r="D6" s="3">
        <v>98</v>
      </c>
      <c r="E6" s="3">
        <v>12843</v>
      </c>
      <c r="F6" s="3">
        <f t="shared" ref="F6" si="0">SUM(C6:E6)</f>
        <v>14288</v>
      </c>
      <c r="G6" s="2"/>
      <c r="H6" s="4">
        <v>86.11</v>
      </c>
      <c r="I6" s="4">
        <v>66.930000000000007</v>
      </c>
      <c r="J6" s="4">
        <v>79.45</v>
      </c>
      <c r="K6" s="4">
        <v>80.010000000000005</v>
      </c>
      <c r="L6" s="2"/>
      <c r="M6" s="4">
        <v>482.50765999999999</v>
      </c>
      <c r="N6" s="4">
        <v>367.2792</v>
      </c>
      <c r="O6" s="4">
        <v>380.6327</v>
      </c>
      <c r="P6" s="4"/>
      <c r="Q6" s="29">
        <v>5312.14</v>
      </c>
      <c r="R6" s="29">
        <v>4325.53</v>
      </c>
      <c r="S6" s="29">
        <v>4439.87</v>
      </c>
    </row>
    <row r="7" spans="1:19" s="15" customFormat="1" x14ac:dyDescent="0.2">
      <c r="C7" s="31"/>
      <c r="D7" s="31"/>
      <c r="E7" s="31"/>
      <c r="F7" s="31"/>
      <c r="H7" s="32"/>
      <c r="I7" s="32"/>
      <c r="J7" s="32"/>
      <c r="K7" s="32"/>
      <c r="L7" s="33"/>
      <c r="M7" s="32"/>
      <c r="N7" s="32"/>
      <c r="O7" s="32"/>
      <c r="P7" s="33"/>
      <c r="Q7" s="34"/>
      <c r="R7" s="34"/>
      <c r="S7" s="34"/>
    </row>
    <row r="8" spans="1:19" s="15" customFormat="1" x14ac:dyDescent="0.2">
      <c r="B8" s="37" t="s">
        <v>8</v>
      </c>
      <c r="C8" s="31"/>
      <c r="D8" s="31"/>
      <c r="E8" s="31"/>
      <c r="F8" s="31"/>
      <c r="H8" s="32"/>
      <c r="I8" s="32"/>
      <c r="J8" s="32"/>
      <c r="K8" s="32"/>
      <c r="L8" s="33"/>
      <c r="M8" s="32"/>
      <c r="N8" s="32"/>
      <c r="O8" s="32"/>
      <c r="P8" s="33"/>
      <c r="Q8" s="34"/>
      <c r="R8" s="34"/>
      <c r="S8" s="34"/>
    </row>
    <row r="9" spans="1:19" s="15" customFormat="1" x14ac:dyDescent="0.2">
      <c r="A9" s="38">
        <v>1</v>
      </c>
      <c r="B9" s="15" t="s">
        <v>9</v>
      </c>
      <c r="C9" s="31">
        <v>117</v>
      </c>
      <c r="D9" s="31">
        <v>7</v>
      </c>
      <c r="E9" s="31">
        <v>1203</v>
      </c>
      <c r="F9" s="31">
        <f t="shared" ref="F9:F18" si="1">SUM(C9:E9)</f>
        <v>1327</v>
      </c>
      <c r="H9" s="32">
        <v>66.14</v>
      </c>
      <c r="I9" s="32">
        <v>71.430000000000007</v>
      </c>
      <c r="J9" s="32">
        <v>66.95</v>
      </c>
      <c r="K9" s="32">
        <v>66.900000000000006</v>
      </c>
      <c r="L9" s="33"/>
      <c r="M9" s="32">
        <v>364.56461999999999</v>
      </c>
      <c r="N9" s="32">
        <v>281.08199000000002</v>
      </c>
      <c r="O9" s="32">
        <v>288.62425999999999</v>
      </c>
      <c r="P9" s="33"/>
      <c r="Q9" s="34">
        <v>5463.15</v>
      </c>
      <c r="R9" s="34">
        <v>4156.4399999999996</v>
      </c>
      <c r="S9" s="34">
        <v>4274.49</v>
      </c>
    </row>
    <row r="10" spans="1:19" s="15" customFormat="1" x14ac:dyDescent="0.2">
      <c r="A10" s="38">
        <v>2</v>
      </c>
      <c r="B10" s="15" t="s">
        <v>10</v>
      </c>
      <c r="C10" s="31">
        <v>261</v>
      </c>
      <c r="D10" s="31">
        <v>14</v>
      </c>
      <c r="E10" s="31">
        <v>2107</v>
      </c>
      <c r="F10" s="31">
        <f t="shared" si="1"/>
        <v>2382</v>
      </c>
      <c r="H10" s="32">
        <v>100.96</v>
      </c>
      <c r="I10" s="32">
        <v>78.13</v>
      </c>
      <c r="J10" s="32">
        <v>91.78</v>
      </c>
      <c r="K10" s="32">
        <v>92.73</v>
      </c>
      <c r="L10" s="33"/>
      <c r="M10" s="32">
        <v>673.43267000000003</v>
      </c>
      <c r="N10" s="32">
        <v>471.64931000000001</v>
      </c>
      <c r="O10" s="32">
        <v>494.53401000000002</v>
      </c>
      <c r="P10" s="33"/>
      <c r="Q10" s="34">
        <v>6443.39</v>
      </c>
      <c r="R10" s="34">
        <v>5133.76</v>
      </c>
      <c r="S10" s="34">
        <v>5282.29</v>
      </c>
    </row>
    <row r="11" spans="1:19" s="15" customFormat="1" x14ac:dyDescent="0.2">
      <c r="A11" s="38">
        <v>3</v>
      </c>
      <c r="B11" s="15" t="s">
        <v>11</v>
      </c>
      <c r="C11" s="31">
        <v>151</v>
      </c>
      <c r="D11" s="31">
        <v>1</v>
      </c>
      <c r="E11" s="31">
        <v>1554</v>
      </c>
      <c r="F11" s="31">
        <f t="shared" si="1"/>
        <v>1706</v>
      </c>
      <c r="H11" s="32">
        <v>77.28</v>
      </c>
      <c r="I11" s="32">
        <v>48</v>
      </c>
      <c r="J11" s="32">
        <v>69.13</v>
      </c>
      <c r="K11" s="32">
        <v>69.89</v>
      </c>
      <c r="L11" s="33"/>
      <c r="M11" s="32">
        <v>298.28649000000001</v>
      </c>
      <c r="N11" s="32">
        <v>258.83148999999997</v>
      </c>
      <c r="O11" s="32">
        <v>263.74990000000003</v>
      </c>
      <c r="P11" s="33"/>
      <c r="Q11" s="34">
        <v>3954.84</v>
      </c>
      <c r="R11" s="34">
        <v>3796.3</v>
      </c>
      <c r="S11" s="34">
        <v>3816.06</v>
      </c>
    </row>
    <row r="12" spans="1:19" s="15" customFormat="1" x14ac:dyDescent="0.2">
      <c r="A12" s="38">
        <v>4</v>
      </c>
      <c r="B12" s="15" t="s">
        <v>12</v>
      </c>
      <c r="C12" s="31">
        <v>10</v>
      </c>
      <c r="D12" s="31">
        <v>1</v>
      </c>
      <c r="E12" s="31">
        <v>548</v>
      </c>
      <c r="F12" s="31">
        <f t="shared" si="1"/>
        <v>559</v>
      </c>
      <c r="H12" s="32">
        <v>101.89</v>
      </c>
      <c r="I12" s="32">
        <v>0</v>
      </c>
      <c r="J12" s="32">
        <v>97.39</v>
      </c>
      <c r="K12" s="32">
        <v>97.48</v>
      </c>
      <c r="L12" s="33"/>
      <c r="M12" s="32">
        <v>723</v>
      </c>
      <c r="N12" s="32">
        <v>574.05318</v>
      </c>
      <c r="O12" s="32">
        <v>577.46417000000008</v>
      </c>
      <c r="P12" s="33"/>
      <c r="Q12" s="34">
        <v>7390.7</v>
      </c>
      <c r="R12" s="34">
        <v>5300.92</v>
      </c>
      <c r="S12" s="34">
        <v>5348.78</v>
      </c>
    </row>
    <row r="13" spans="1:19" s="15" customFormat="1" x14ac:dyDescent="0.2">
      <c r="A13" s="38">
        <v>5</v>
      </c>
      <c r="B13" s="15" t="s">
        <v>13</v>
      </c>
      <c r="C13" s="31">
        <v>165</v>
      </c>
      <c r="D13" s="31">
        <v>0</v>
      </c>
      <c r="E13" s="31">
        <v>942</v>
      </c>
      <c r="F13" s="31">
        <f t="shared" si="1"/>
        <v>1107</v>
      </c>
      <c r="H13" s="32">
        <v>113.09</v>
      </c>
      <c r="I13" s="32">
        <v>0</v>
      </c>
      <c r="J13" s="32">
        <v>129.63</v>
      </c>
      <c r="K13" s="32">
        <v>127.18</v>
      </c>
      <c r="L13" s="33"/>
      <c r="M13" s="32">
        <v>798.7010600000001</v>
      </c>
      <c r="N13" s="32">
        <v>753.04549999999995</v>
      </c>
      <c r="O13" s="32">
        <v>760.01397999999995</v>
      </c>
      <c r="P13" s="33"/>
      <c r="Q13" s="34">
        <v>7110.16</v>
      </c>
      <c r="R13" s="34">
        <v>5887.59</v>
      </c>
      <c r="S13" s="34">
        <v>6074.19</v>
      </c>
    </row>
    <row r="14" spans="1:19" s="15" customFormat="1" x14ac:dyDescent="0.2">
      <c r="A14" s="38">
        <v>6</v>
      </c>
      <c r="B14" s="15" t="s">
        <v>14</v>
      </c>
      <c r="C14" s="31">
        <v>105</v>
      </c>
      <c r="D14" s="31">
        <v>0</v>
      </c>
      <c r="E14" s="31">
        <v>918</v>
      </c>
      <c r="F14" s="31">
        <f t="shared" si="1"/>
        <v>1023</v>
      </c>
      <c r="H14" s="32">
        <v>98.22</v>
      </c>
      <c r="I14" s="32">
        <v>0</v>
      </c>
      <c r="J14" s="32">
        <v>78.010000000000005</v>
      </c>
      <c r="K14" s="32">
        <v>80.11</v>
      </c>
      <c r="L14" s="33"/>
      <c r="M14" s="32">
        <v>585.02080000000001</v>
      </c>
      <c r="N14" s="32">
        <v>360.66606999999999</v>
      </c>
      <c r="O14" s="32">
        <v>384.24397999999997</v>
      </c>
      <c r="P14" s="33"/>
      <c r="Q14" s="34">
        <v>5304.49</v>
      </c>
      <c r="R14" s="34">
        <v>4731.45</v>
      </c>
      <c r="S14" s="34">
        <v>4791.67</v>
      </c>
    </row>
    <row r="15" spans="1:19" s="15" customFormat="1" x14ac:dyDescent="0.2">
      <c r="A15" s="38">
        <v>7</v>
      </c>
      <c r="B15" s="15" t="s">
        <v>15</v>
      </c>
      <c r="C15" s="31">
        <v>260</v>
      </c>
      <c r="D15" s="31">
        <v>12</v>
      </c>
      <c r="E15" s="31">
        <v>1195</v>
      </c>
      <c r="F15" s="31">
        <f t="shared" si="1"/>
        <v>1467</v>
      </c>
      <c r="H15" s="32">
        <v>76.319999999999993</v>
      </c>
      <c r="I15" s="32">
        <v>68.5</v>
      </c>
      <c r="J15" s="32">
        <v>69.819999999999993</v>
      </c>
      <c r="K15" s="32">
        <v>71</v>
      </c>
      <c r="L15" s="33"/>
      <c r="M15" s="32">
        <v>300.35088000000002</v>
      </c>
      <c r="N15" s="32">
        <v>229.91698000000002</v>
      </c>
      <c r="O15" s="32">
        <v>243.50751</v>
      </c>
      <c r="P15" s="33"/>
      <c r="Q15" s="34">
        <v>3963.32</v>
      </c>
      <c r="R15" s="34">
        <v>3346.77</v>
      </c>
      <c r="S15" s="34">
        <v>3465.73</v>
      </c>
    </row>
    <row r="16" spans="1:19" s="15" customFormat="1" x14ac:dyDescent="0.2">
      <c r="A16" s="38">
        <v>8</v>
      </c>
      <c r="B16" s="15" t="s">
        <v>16</v>
      </c>
      <c r="C16" s="31">
        <v>12</v>
      </c>
      <c r="D16" s="31">
        <v>1</v>
      </c>
      <c r="E16" s="31">
        <v>1395</v>
      </c>
      <c r="F16" s="31">
        <f t="shared" si="1"/>
        <v>1408</v>
      </c>
      <c r="H16" s="32">
        <v>67.2</v>
      </c>
      <c r="I16" s="32">
        <v>74</v>
      </c>
      <c r="J16" s="32">
        <v>64.08</v>
      </c>
      <c r="K16" s="32">
        <v>64.12</v>
      </c>
      <c r="L16" s="33"/>
      <c r="M16" s="32">
        <v>169.34</v>
      </c>
      <c r="N16" s="32">
        <v>184.15810999999999</v>
      </c>
      <c r="O16" s="32">
        <v>183.92102</v>
      </c>
      <c r="P16" s="33"/>
      <c r="Q16" s="34">
        <v>2725.69</v>
      </c>
      <c r="R16" s="34">
        <v>2767.2</v>
      </c>
      <c r="S16" s="34">
        <v>2766.54</v>
      </c>
    </row>
    <row r="17" spans="1:19" s="15" customFormat="1" x14ac:dyDescent="0.2">
      <c r="A17" s="38">
        <v>9</v>
      </c>
      <c r="B17" s="15" t="s">
        <v>17</v>
      </c>
      <c r="C17" s="31">
        <v>50</v>
      </c>
      <c r="D17" s="31">
        <v>11</v>
      </c>
      <c r="E17" s="31">
        <v>1146</v>
      </c>
      <c r="F17" s="31">
        <f t="shared" si="1"/>
        <v>1207</v>
      </c>
      <c r="H17" s="32">
        <v>71.48</v>
      </c>
      <c r="I17" s="32">
        <v>75.09</v>
      </c>
      <c r="J17" s="32">
        <v>71.75</v>
      </c>
      <c r="K17" s="32">
        <v>71.77</v>
      </c>
      <c r="L17" s="33"/>
      <c r="M17" s="32">
        <v>250.19463000000002</v>
      </c>
      <c r="N17" s="32">
        <v>265.72639000000004</v>
      </c>
      <c r="O17" s="32">
        <v>264.55784999999997</v>
      </c>
      <c r="P17" s="33"/>
      <c r="Q17" s="34">
        <v>3554.63</v>
      </c>
      <c r="R17" s="34">
        <v>3562.4</v>
      </c>
      <c r="S17" s="34">
        <v>3561.82</v>
      </c>
    </row>
    <row r="18" spans="1:19" s="15" customFormat="1" x14ac:dyDescent="0.2">
      <c r="A18" s="38">
        <v>10</v>
      </c>
      <c r="B18" s="15" t="s">
        <v>18</v>
      </c>
      <c r="C18" s="31">
        <v>198</v>
      </c>
      <c r="D18" s="31">
        <v>51</v>
      </c>
      <c r="E18" s="31">
        <v>1751</v>
      </c>
      <c r="F18" s="31">
        <f t="shared" si="1"/>
        <v>2000</v>
      </c>
      <c r="H18" s="32">
        <v>75.849999999999994</v>
      </c>
      <c r="I18" s="32">
        <v>62.19</v>
      </c>
      <c r="J18" s="32">
        <v>74.23</v>
      </c>
      <c r="K18" s="32">
        <v>74.099999999999994</v>
      </c>
      <c r="L18" s="33"/>
      <c r="M18" s="32">
        <v>450.10609000000005</v>
      </c>
      <c r="N18" s="32">
        <v>317.56819999999999</v>
      </c>
      <c r="O18" s="32">
        <v>334.93400000000003</v>
      </c>
      <c r="P18" s="33"/>
      <c r="Q18" s="34">
        <v>5616.19</v>
      </c>
      <c r="R18" s="34">
        <v>4087.39</v>
      </c>
      <c r="S18" s="34">
        <v>4287.7</v>
      </c>
    </row>
    <row r="19" spans="1:19" s="15" customFormat="1" x14ac:dyDescent="0.2">
      <c r="A19" s="38"/>
      <c r="C19" s="31"/>
      <c r="D19" s="31"/>
      <c r="E19" s="31"/>
      <c r="F19" s="31"/>
      <c r="H19" s="32"/>
      <c r="I19" s="32"/>
      <c r="J19" s="32"/>
      <c r="K19" s="32"/>
      <c r="L19" s="33"/>
      <c r="M19" s="32"/>
      <c r="N19" s="32"/>
      <c r="O19" s="32"/>
      <c r="P19" s="33"/>
      <c r="Q19" s="34"/>
      <c r="R19" s="34"/>
      <c r="S19" s="34"/>
    </row>
    <row r="20" spans="1:19" s="15" customFormat="1" x14ac:dyDescent="0.2">
      <c r="A20" s="38"/>
      <c r="B20" s="37" t="s">
        <v>19</v>
      </c>
      <c r="C20" s="31"/>
      <c r="D20" s="31"/>
      <c r="E20" s="31"/>
      <c r="F20" s="31"/>
      <c r="H20" s="32"/>
      <c r="I20" s="32"/>
      <c r="J20" s="32"/>
      <c r="K20" s="32"/>
      <c r="L20" s="33"/>
      <c r="M20" s="32"/>
      <c r="N20" s="32"/>
      <c r="O20" s="32"/>
      <c r="P20" s="33"/>
      <c r="Q20" s="34"/>
      <c r="R20" s="34"/>
      <c r="S20" s="34"/>
    </row>
    <row r="21" spans="1:19" x14ac:dyDescent="0.2">
      <c r="A21" s="38">
        <v>1</v>
      </c>
      <c r="B21" s="3" t="s">
        <v>20</v>
      </c>
      <c r="C21" s="3">
        <v>15</v>
      </c>
      <c r="D21" s="3">
        <v>6</v>
      </c>
      <c r="E21" s="3">
        <v>494</v>
      </c>
      <c r="F21" s="31">
        <f t="shared" ref="F21:F84" si="2">SUM(C21:E21)</f>
        <v>515</v>
      </c>
      <c r="H21" s="4">
        <v>64.14</v>
      </c>
      <c r="I21" s="4">
        <v>70.67</v>
      </c>
      <c r="J21" s="4">
        <v>62.17</v>
      </c>
      <c r="K21" s="4">
        <v>62.35</v>
      </c>
      <c r="M21" s="4">
        <v>390.01607000000001</v>
      </c>
      <c r="N21" s="4">
        <v>196.58267999999998</v>
      </c>
      <c r="O21" s="4">
        <v>202.98473000000001</v>
      </c>
      <c r="Q21" s="29">
        <v>6004.11</v>
      </c>
      <c r="R21" s="29">
        <v>3128.97</v>
      </c>
      <c r="S21" s="29">
        <v>3224.13</v>
      </c>
    </row>
    <row r="22" spans="1:19" x14ac:dyDescent="0.2">
      <c r="A22" s="38">
        <v>2</v>
      </c>
      <c r="B22" s="3" t="s">
        <v>21</v>
      </c>
      <c r="C22" s="3">
        <v>45</v>
      </c>
      <c r="D22" s="3">
        <v>0</v>
      </c>
      <c r="E22" s="3">
        <v>222</v>
      </c>
      <c r="F22" s="31">
        <f t="shared" si="2"/>
        <v>267</v>
      </c>
      <c r="H22" s="4">
        <v>83.06</v>
      </c>
      <c r="I22" s="4">
        <v>0</v>
      </c>
      <c r="J22" s="4">
        <v>87.82</v>
      </c>
      <c r="K22" s="4">
        <v>87.12</v>
      </c>
      <c r="M22" s="4">
        <v>504.85944000000001</v>
      </c>
      <c r="N22" s="4">
        <v>448.49106</v>
      </c>
      <c r="O22" s="4">
        <v>456.75193999999999</v>
      </c>
      <c r="Q22" s="29">
        <v>6019.44</v>
      </c>
      <c r="R22" s="29">
        <v>4765.6400000000003</v>
      </c>
      <c r="S22" s="29">
        <v>4949.3900000000003</v>
      </c>
    </row>
    <row r="23" spans="1:19" x14ac:dyDescent="0.2">
      <c r="A23" s="38">
        <v>3</v>
      </c>
      <c r="B23" s="3" t="s">
        <v>22</v>
      </c>
      <c r="C23" s="3">
        <v>31</v>
      </c>
      <c r="D23" s="3">
        <v>1</v>
      </c>
      <c r="E23" s="3">
        <v>183</v>
      </c>
      <c r="F23" s="31">
        <f t="shared" si="2"/>
        <v>215</v>
      </c>
      <c r="H23" s="4">
        <v>36.869999999999997</v>
      </c>
      <c r="I23" s="4">
        <v>76</v>
      </c>
      <c r="J23" s="4">
        <v>45.31</v>
      </c>
      <c r="K23" s="4">
        <v>44.13</v>
      </c>
      <c r="M23" s="4">
        <v>175.89677</v>
      </c>
      <c r="N23" s="4">
        <v>233.70553000000001</v>
      </c>
      <c r="O23" s="4">
        <v>224.37182000000001</v>
      </c>
      <c r="Q23" s="29">
        <v>5005.34</v>
      </c>
      <c r="R23" s="29">
        <v>5339.33</v>
      </c>
      <c r="S23" s="29">
        <v>5285.4</v>
      </c>
    </row>
    <row r="24" spans="1:19" x14ac:dyDescent="0.2">
      <c r="A24" s="38">
        <v>4</v>
      </c>
      <c r="B24" s="3" t="s">
        <v>23</v>
      </c>
      <c r="C24" s="3">
        <v>26</v>
      </c>
      <c r="D24" s="3">
        <v>0</v>
      </c>
      <c r="E24" s="3">
        <v>304</v>
      </c>
      <c r="F24" s="31">
        <f t="shared" si="2"/>
        <v>330</v>
      </c>
      <c r="H24" s="4">
        <v>81.13</v>
      </c>
      <c r="I24" s="4">
        <v>0</v>
      </c>
      <c r="J24" s="4">
        <v>72.27</v>
      </c>
      <c r="K24" s="4">
        <v>73.02</v>
      </c>
      <c r="M24" s="4">
        <v>395.97152</v>
      </c>
      <c r="N24" s="4">
        <v>315.98865999999998</v>
      </c>
      <c r="O24" s="4">
        <v>322.51208000000003</v>
      </c>
      <c r="Q24" s="29">
        <v>4928.57</v>
      </c>
      <c r="R24" s="29">
        <v>4577.92</v>
      </c>
      <c r="S24" s="29">
        <v>4606.5200000000004</v>
      </c>
    </row>
    <row r="25" spans="1:19" x14ac:dyDescent="0.2">
      <c r="A25" s="38">
        <v>5</v>
      </c>
      <c r="B25" s="3" t="s">
        <v>24</v>
      </c>
      <c r="C25" s="3">
        <v>8</v>
      </c>
      <c r="D25" s="3">
        <v>0</v>
      </c>
      <c r="E25" s="3">
        <v>225</v>
      </c>
      <c r="F25" s="31">
        <f t="shared" si="2"/>
        <v>233</v>
      </c>
      <c r="H25" s="4">
        <v>85.29</v>
      </c>
      <c r="I25" s="4">
        <v>0</v>
      </c>
      <c r="J25" s="4">
        <v>85.88</v>
      </c>
      <c r="K25" s="4">
        <v>85.86</v>
      </c>
      <c r="M25" s="4">
        <v>391.64285999999998</v>
      </c>
      <c r="N25" s="4">
        <v>378.58289000000002</v>
      </c>
      <c r="O25" s="4">
        <v>379.02453000000003</v>
      </c>
      <c r="Q25" s="29">
        <v>4785.16</v>
      </c>
      <c r="R25" s="29">
        <v>4465.1099999999997</v>
      </c>
      <c r="S25" s="29">
        <v>4475.93</v>
      </c>
    </row>
    <row r="26" spans="1:19" x14ac:dyDescent="0.2">
      <c r="A26" s="38">
        <v>6</v>
      </c>
      <c r="B26" s="3" t="s">
        <v>25</v>
      </c>
      <c r="C26" s="3">
        <v>18</v>
      </c>
      <c r="D26" s="3">
        <v>0</v>
      </c>
      <c r="E26" s="3">
        <v>420</v>
      </c>
      <c r="F26" s="31">
        <f t="shared" si="2"/>
        <v>438</v>
      </c>
      <c r="H26" s="4">
        <v>70.930000000000007</v>
      </c>
      <c r="I26" s="4">
        <v>0</v>
      </c>
      <c r="J26" s="4">
        <v>73.06</v>
      </c>
      <c r="K26" s="4">
        <v>72.98</v>
      </c>
      <c r="M26" s="4">
        <v>413.24405999999999</v>
      </c>
      <c r="N26" s="4">
        <v>333.36614000000003</v>
      </c>
      <c r="O26" s="4">
        <v>336.77426000000003</v>
      </c>
      <c r="Q26" s="29">
        <v>6029.92</v>
      </c>
      <c r="R26" s="29">
        <v>4711.55</v>
      </c>
      <c r="S26" s="29">
        <v>4767.8</v>
      </c>
    </row>
    <row r="27" spans="1:19" x14ac:dyDescent="0.2">
      <c r="A27" s="38">
        <v>7</v>
      </c>
      <c r="B27" s="3" t="s">
        <v>26</v>
      </c>
      <c r="C27" s="3">
        <v>67</v>
      </c>
      <c r="D27" s="3">
        <v>0</v>
      </c>
      <c r="E27" s="3">
        <v>442</v>
      </c>
      <c r="F27" s="31">
        <f t="shared" si="2"/>
        <v>509</v>
      </c>
      <c r="H27" s="4">
        <v>130.94</v>
      </c>
      <c r="I27" s="4">
        <v>0</v>
      </c>
      <c r="J27" s="4">
        <v>119.59</v>
      </c>
      <c r="K27" s="4">
        <v>121.11</v>
      </c>
      <c r="M27" s="4">
        <v>1030.6475</v>
      </c>
      <c r="N27" s="4">
        <v>729.77065000000005</v>
      </c>
      <c r="O27" s="4">
        <v>770.58983000000001</v>
      </c>
      <c r="Q27" s="29">
        <v>7927.53</v>
      </c>
      <c r="R27" s="29">
        <v>6116.75</v>
      </c>
      <c r="S27" s="29">
        <v>6362.41</v>
      </c>
    </row>
    <row r="28" spans="1:19" x14ac:dyDescent="0.2">
      <c r="A28" s="38">
        <v>8</v>
      </c>
      <c r="B28" s="3" t="s">
        <v>27</v>
      </c>
      <c r="C28" s="3">
        <v>49</v>
      </c>
      <c r="D28" s="3">
        <v>1</v>
      </c>
      <c r="E28" s="3">
        <v>401</v>
      </c>
      <c r="F28" s="31">
        <f t="shared" si="2"/>
        <v>451</v>
      </c>
      <c r="H28" s="4">
        <v>110.14</v>
      </c>
      <c r="I28" s="4">
        <v>52</v>
      </c>
      <c r="J28" s="4">
        <v>97.05</v>
      </c>
      <c r="K28" s="4">
        <v>98.34</v>
      </c>
      <c r="M28" s="4">
        <v>970.93306000000007</v>
      </c>
      <c r="N28" s="4">
        <v>507.358</v>
      </c>
      <c r="O28" s="4">
        <v>558.09756000000004</v>
      </c>
      <c r="Q28" s="29">
        <v>8629.7199999999993</v>
      </c>
      <c r="R28" s="29">
        <v>5391.98</v>
      </c>
      <c r="S28" s="29">
        <v>5746.36</v>
      </c>
    </row>
    <row r="29" spans="1:19" x14ac:dyDescent="0.2">
      <c r="A29" s="38">
        <v>9</v>
      </c>
      <c r="B29" s="3" t="s">
        <v>28</v>
      </c>
      <c r="C29" s="3">
        <v>101</v>
      </c>
      <c r="D29" s="3">
        <v>12</v>
      </c>
      <c r="E29" s="3">
        <v>334</v>
      </c>
      <c r="F29" s="31">
        <f t="shared" si="2"/>
        <v>447</v>
      </c>
      <c r="H29" s="4">
        <v>78.8</v>
      </c>
      <c r="I29" s="4">
        <v>81.86</v>
      </c>
      <c r="J29" s="4">
        <v>81.099999999999994</v>
      </c>
      <c r="K29" s="4">
        <v>80.61</v>
      </c>
      <c r="M29" s="4">
        <v>383.41082</v>
      </c>
      <c r="N29" s="4">
        <v>381.06909000000002</v>
      </c>
      <c r="O29" s="4">
        <v>381.65105999999997</v>
      </c>
      <c r="Q29" s="29">
        <v>4903.4799999999996</v>
      </c>
      <c r="R29" s="29">
        <v>4814.91</v>
      </c>
      <c r="S29" s="29">
        <v>4836.92</v>
      </c>
    </row>
    <row r="30" spans="1:19" x14ac:dyDescent="0.2">
      <c r="A30" s="38">
        <v>10</v>
      </c>
      <c r="B30" s="3" t="s">
        <v>29</v>
      </c>
      <c r="C30" s="3">
        <v>18</v>
      </c>
      <c r="D30" s="3">
        <v>1</v>
      </c>
      <c r="E30" s="3">
        <v>285</v>
      </c>
      <c r="F30" s="31">
        <f t="shared" si="2"/>
        <v>304</v>
      </c>
      <c r="H30" s="4">
        <v>111.59</v>
      </c>
      <c r="I30" s="4">
        <v>0</v>
      </c>
      <c r="J30" s="4">
        <v>84.15</v>
      </c>
      <c r="K30" s="4">
        <v>85.95</v>
      </c>
      <c r="M30" s="4">
        <v>394.61176</v>
      </c>
      <c r="N30" s="4">
        <v>370.45398</v>
      </c>
      <c r="O30" s="4">
        <v>372.10331000000002</v>
      </c>
      <c r="Q30" s="29">
        <v>4052.88</v>
      </c>
      <c r="R30" s="29">
        <v>4640.53</v>
      </c>
      <c r="S30" s="29">
        <v>4600.41</v>
      </c>
    </row>
    <row r="31" spans="1:19" x14ac:dyDescent="0.2">
      <c r="A31" s="38">
        <v>11</v>
      </c>
      <c r="B31" s="3" t="s">
        <v>30</v>
      </c>
      <c r="C31" s="3">
        <v>8</v>
      </c>
      <c r="D31" s="3">
        <v>0</v>
      </c>
      <c r="E31" s="3">
        <v>382</v>
      </c>
      <c r="F31" s="31">
        <f t="shared" si="2"/>
        <v>390</v>
      </c>
      <c r="H31" s="4">
        <v>67.67</v>
      </c>
      <c r="I31" s="4">
        <v>0</v>
      </c>
      <c r="J31" s="4">
        <v>63.58</v>
      </c>
      <c r="K31" s="4">
        <v>63.65</v>
      </c>
      <c r="M31" s="4">
        <v>298.16699999999997</v>
      </c>
      <c r="N31" s="4">
        <v>247.31548000000001</v>
      </c>
      <c r="O31" s="4">
        <v>248.28101999999998</v>
      </c>
      <c r="Q31" s="29">
        <v>4554.7299999999996</v>
      </c>
      <c r="R31" s="29">
        <v>4025.86</v>
      </c>
      <c r="S31" s="29">
        <v>4035.9</v>
      </c>
    </row>
    <row r="32" spans="1:19" x14ac:dyDescent="0.2">
      <c r="A32" s="38">
        <v>12</v>
      </c>
      <c r="B32" s="3" t="s">
        <v>31</v>
      </c>
      <c r="C32" s="3">
        <v>52</v>
      </c>
      <c r="D32" s="3">
        <v>0</v>
      </c>
      <c r="E32" s="3">
        <v>66</v>
      </c>
      <c r="F32" s="31">
        <f t="shared" si="2"/>
        <v>118</v>
      </c>
      <c r="H32" s="4">
        <v>89.02</v>
      </c>
      <c r="I32" s="4">
        <v>0</v>
      </c>
      <c r="J32" s="4">
        <v>80.930000000000007</v>
      </c>
      <c r="K32" s="4">
        <v>84.65</v>
      </c>
      <c r="M32" s="4">
        <v>336.96823000000001</v>
      </c>
      <c r="N32" s="4">
        <v>342.17277000000001</v>
      </c>
      <c r="O32" s="4">
        <v>339.71244000000002</v>
      </c>
      <c r="Q32" s="29">
        <v>3789.1</v>
      </c>
      <c r="R32" s="29">
        <v>4221.83</v>
      </c>
      <c r="S32" s="29">
        <v>4017.27</v>
      </c>
    </row>
    <row r="33" spans="1:19" x14ac:dyDescent="0.2">
      <c r="A33" s="38">
        <v>13</v>
      </c>
      <c r="B33" s="3" t="s">
        <v>32</v>
      </c>
      <c r="C33" s="3">
        <v>4</v>
      </c>
      <c r="D33" s="3">
        <v>0</v>
      </c>
      <c r="E33" s="3">
        <v>247</v>
      </c>
      <c r="F33" s="31">
        <f t="shared" si="2"/>
        <v>251</v>
      </c>
      <c r="H33" s="4">
        <v>52.75</v>
      </c>
      <c r="I33" s="4">
        <v>0</v>
      </c>
      <c r="J33" s="4">
        <v>70.010000000000005</v>
      </c>
      <c r="K33" s="4">
        <v>69.7</v>
      </c>
      <c r="M33" s="4">
        <v>168.5</v>
      </c>
      <c r="N33" s="4">
        <v>231.85175000000001</v>
      </c>
      <c r="O33" s="4">
        <v>229.80814999999998</v>
      </c>
      <c r="Q33" s="29">
        <v>3203.5</v>
      </c>
      <c r="R33" s="29">
        <v>3396.34</v>
      </c>
      <c r="S33" s="29">
        <v>3390.12</v>
      </c>
    </row>
    <row r="34" spans="1:19" x14ac:dyDescent="0.2">
      <c r="A34" s="38">
        <v>14</v>
      </c>
      <c r="B34" s="3" t="s">
        <v>33</v>
      </c>
      <c r="C34" s="3">
        <v>10</v>
      </c>
      <c r="D34" s="3">
        <v>0</v>
      </c>
      <c r="E34" s="3">
        <v>81</v>
      </c>
      <c r="F34" s="31">
        <f t="shared" si="2"/>
        <v>91</v>
      </c>
      <c r="H34" s="4">
        <v>76.11</v>
      </c>
      <c r="I34" s="4">
        <v>0</v>
      </c>
      <c r="J34" s="4">
        <v>81.260000000000005</v>
      </c>
      <c r="K34" s="4">
        <v>80.66</v>
      </c>
      <c r="M34" s="4">
        <v>328.33332999999999</v>
      </c>
      <c r="N34" s="4">
        <v>266.06142999999997</v>
      </c>
      <c r="O34" s="4">
        <v>273.43572999999998</v>
      </c>
      <c r="Q34" s="29">
        <v>4436.12</v>
      </c>
      <c r="R34" s="29">
        <v>3481.62</v>
      </c>
      <c r="S34" s="29">
        <v>3594.65</v>
      </c>
    </row>
    <row r="35" spans="1:19" x14ac:dyDescent="0.2">
      <c r="A35" s="38">
        <v>15</v>
      </c>
      <c r="B35" s="3" t="s">
        <v>34</v>
      </c>
      <c r="C35" s="3">
        <v>33</v>
      </c>
      <c r="D35" s="3">
        <v>1</v>
      </c>
      <c r="E35" s="3">
        <v>126</v>
      </c>
      <c r="F35" s="31">
        <f t="shared" si="2"/>
        <v>160</v>
      </c>
      <c r="H35" s="4">
        <v>70.25</v>
      </c>
      <c r="I35" s="4">
        <v>48</v>
      </c>
      <c r="J35" s="4">
        <v>69.52</v>
      </c>
      <c r="K35" s="4">
        <v>69.510000000000005</v>
      </c>
      <c r="M35" s="4">
        <v>296.55175000000003</v>
      </c>
      <c r="N35" s="4">
        <v>248.33744000000002</v>
      </c>
      <c r="O35" s="4">
        <v>257.91190999999998</v>
      </c>
      <c r="Q35" s="29">
        <v>4442.3</v>
      </c>
      <c r="R35" s="29">
        <v>3605.52</v>
      </c>
      <c r="S35" s="29">
        <v>3771.69</v>
      </c>
    </row>
    <row r="36" spans="1:19" x14ac:dyDescent="0.2">
      <c r="A36" s="38">
        <v>16</v>
      </c>
      <c r="B36" s="3" t="s">
        <v>35</v>
      </c>
      <c r="C36" s="3">
        <v>5</v>
      </c>
      <c r="D36" s="3">
        <v>0</v>
      </c>
      <c r="E36" s="3">
        <v>170</v>
      </c>
      <c r="F36" s="31">
        <f t="shared" si="2"/>
        <v>175</v>
      </c>
      <c r="H36" s="4">
        <v>64</v>
      </c>
      <c r="I36" s="4">
        <v>0</v>
      </c>
      <c r="J36" s="4">
        <v>69.150000000000006</v>
      </c>
      <c r="K36" s="4">
        <v>69.11</v>
      </c>
      <c r="M36" s="4">
        <v>527.45000000000005</v>
      </c>
      <c r="N36" s="4">
        <v>235.35938000000002</v>
      </c>
      <c r="O36" s="4">
        <v>239.85307999999998</v>
      </c>
      <c r="Q36" s="29">
        <v>8241.41</v>
      </c>
      <c r="R36" s="29">
        <v>3423.31</v>
      </c>
      <c r="S36" s="29">
        <v>3497.43</v>
      </c>
    </row>
    <row r="37" spans="1:19" x14ac:dyDescent="0.2">
      <c r="A37" s="38">
        <v>17</v>
      </c>
      <c r="B37" s="3" t="s">
        <v>36</v>
      </c>
      <c r="C37" s="3">
        <v>28</v>
      </c>
      <c r="D37" s="3">
        <v>0</v>
      </c>
      <c r="E37" s="3">
        <v>190</v>
      </c>
      <c r="F37" s="31">
        <f t="shared" si="2"/>
        <v>218</v>
      </c>
      <c r="H37" s="4">
        <v>69.19</v>
      </c>
      <c r="I37" s="4">
        <v>0</v>
      </c>
      <c r="J37" s="4">
        <v>68.849999999999994</v>
      </c>
      <c r="K37" s="4">
        <v>68.900000000000006</v>
      </c>
      <c r="M37" s="4">
        <v>241.03845999999999</v>
      </c>
      <c r="N37" s="4">
        <v>272.43078000000003</v>
      </c>
      <c r="O37" s="4">
        <v>264.10221000000001</v>
      </c>
      <c r="Q37" s="29">
        <v>3568.4</v>
      </c>
      <c r="R37" s="29">
        <v>3713.26</v>
      </c>
      <c r="S37" s="29">
        <v>3674.83</v>
      </c>
    </row>
    <row r="38" spans="1:19" x14ac:dyDescent="0.2">
      <c r="A38" s="38">
        <v>18</v>
      </c>
      <c r="B38" s="3" t="s">
        <v>37</v>
      </c>
      <c r="C38" s="3">
        <v>11</v>
      </c>
      <c r="D38" s="3">
        <v>0</v>
      </c>
      <c r="E38" s="3">
        <v>292</v>
      </c>
      <c r="F38" s="31">
        <f t="shared" si="2"/>
        <v>303</v>
      </c>
      <c r="H38" s="4">
        <v>75.09</v>
      </c>
      <c r="I38" s="4">
        <v>0</v>
      </c>
      <c r="J38" s="4">
        <v>69.459999999999994</v>
      </c>
      <c r="K38" s="4">
        <v>69.709999999999994</v>
      </c>
      <c r="M38" s="4">
        <v>257</v>
      </c>
      <c r="N38" s="4">
        <v>279.07342</v>
      </c>
      <c r="O38" s="4">
        <v>277.63668999999999</v>
      </c>
      <c r="Q38" s="29">
        <v>3573.48</v>
      </c>
      <c r="R38" s="29">
        <v>3952.26</v>
      </c>
      <c r="S38" s="29">
        <v>3927.61</v>
      </c>
    </row>
    <row r="39" spans="1:19" x14ac:dyDescent="0.2">
      <c r="A39" s="38">
        <v>19</v>
      </c>
      <c r="B39" s="3" t="s">
        <v>38</v>
      </c>
      <c r="C39" s="3">
        <v>8</v>
      </c>
      <c r="D39" s="3">
        <v>1</v>
      </c>
      <c r="E39" s="3">
        <v>307</v>
      </c>
      <c r="F39" s="31">
        <f t="shared" si="2"/>
        <v>316</v>
      </c>
      <c r="H39" s="4">
        <v>102.43</v>
      </c>
      <c r="I39" s="4">
        <v>0</v>
      </c>
      <c r="J39" s="4">
        <v>88.16</v>
      </c>
      <c r="K39" s="4">
        <v>88.52</v>
      </c>
      <c r="M39" s="4">
        <v>758.85713999999996</v>
      </c>
      <c r="N39" s="4">
        <v>455.33173999999997</v>
      </c>
      <c r="O39" s="4">
        <v>463.96863999999999</v>
      </c>
      <c r="Q39" s="29">
        <v>7795.18</v>
      </c>
      <c r="R39" s="29">
        <v>5152.2299999999996</v>
      </c>
      <c r="S39" s="29">
        <v>5227.4399999999996</v>
      </c>
    </row>
    <row r="40" spans="1:19" x14ac:dyDescent="0.2">
      <c r="A40" s="38">
        <v>20</v>
      </c>
      <c r="B40" s="3" t="s">
        <v>39</v>
      </c>
      <c r="C40" s="3">
        <v>0</v>
      </c>
      <c r="D40" s="3">
        <v>0</v>
      </c>
      <c r="E40" s="3">
        <v>150</v>
      </c>
      <c r="F40" s="31">
        <f t="shared" si="2"/>
        <v>150</v>
      </c>
      <c r="H40" s="4">
        <v>0</v>
      </c>
      <c r="I40" s="4">
        <v>0</v>
      </c>
      <c r="J40" s="4">
        <v>76.98</v>
      </c>
      <c r="K40" s="4">
        <v>76.98</v>
      </c>
      <c r="M40" s="4">
        <v>0</v>
      </c>
      <c r="N40" s="4">
        <v>383.41874999999999</v>
      </c>
      <c r="O40" s="4">
        <v>383.41874999999999</v>
      </c>
      <c r="Q40" s="29">
        <v>0</v>
      </c>
      <c r="R40" s="29">
        <v>4642.22</v>
      </c>
      <c r="S40" s="29">
        <v>4642.22</v>
      </c>
    </row>
    <row r="41" spans="1:19" x14ac:dyDescent="0.2">
      <c r="A41" s="38">
        <v>21</v>
      </c>
      <c r="B41" s="3" t="s">
        <v>40</v>
      </c>
      <c r="C41" s="3">
        <v>2</v>
      </c>
      <c r="D41" s="3">
        <v>0</v>
      </c>
      <c r="E41" s="3">
        <v>91</v>
      </c>
      <c r="F41" s="31">
        <f t="shared" si="2"/>
        <v>93</v>
      </c>
      <c r="H41" s="4">
        <v>100</v>
      </c>
      <c r="I41" s="4">
        <v>0</v>
      </c>
      <c r="J41" s="4">
        <v>166.13</v>
      </c>
      <c r="K41" s="4">
        <v>164.41</v>
      </c>
      <c r="M41" s="4">
        <v>0</v>
      </c>
      <c r="N41" s="4">
        <v>1183.65326</v>
      </c>
      <c r="O41" s="4">
        <v>1167.37122</v>
      </c>
      <c r="Q41" s="29">
        <v>0</v>
      </c>
      <c r="R41" s="29">
        <v>6514.35</v>
      </c>
      <c r="S41" s="29">
        <v>6499.37</v>
      </c>
    </row>
    <row r="42" spans="1:19" x14ac:dyDescent="0.2">
      <c r="A42" s="38">
        <v>22</v>
      </c>
      <c r="B42" s="3" t="s">
        <v>41</v>
      </c>
      <c r="C42" s="3">
        <v>1</v>
      </c>
      <c r="D42" s="3">
        <v>0</v>
      </c>
      <c r="E42" s="3">
        <v>20</v>
      </c>
      <c r="F42" s="31">
        <f t="shared" si="2"/>
        <v>21</v>
      </c>
      <c r="H42" s="4">
        <v>86</v>
      </c>
      <c r="I42" s="4">
        <v>0</v>
      </c>
      <c r="J42" s="4">
        <v>137.38</v>
      </c>
      <c r="K42" s="4">
        <v>134.36000000000001</v>
      </c>
      <c r="M42" s="4">
        <v>0</v>
      </c>
      <c r="N42" s="4">
        <v>522.8125</v>
      </c>
      <c r="O42" s="4">
        <v>515.58822999999995</v>
      </c>
      <c r="Q42" s="29">
        <v>0</v>
      </c>
      <c r="R42" s="29">
        <v>4912.3900000000003</v>
      </c>
      <c r="S42" s="29">
        <v>4897.0200000000004</v>
      </c>
    </row>
    <row r="43" spans="1:19" x14ac:dyDescent="0.2">
      <c r="A43" s="38">
        <v>23</v>
      </c>
      <c r="B43" s="3" t="s">
        <v>42</v>
      </c>
      <c r="C43" s="3">
        <v>19</v>
      </c>
      <c r="D43" s="3">
        <v>0</v>
      </c>
      <c r="E43" s="3">
        <v>150</v>
      </c>
      <c r="F43" s="31">
        <f t="shared" si="2"/>
        <v>169</v>
      </c>
      <c r="H43" s="4">
        <v>148.84</v>
      </c>
      <c r="I43" s="4">
        <v>0</v>
      </c>
      <c r="J43" s="4">
        <v>116.14</v>
      </c>
      <c r="K43" s="4">
        <v>120.23</v>
      </c>
      <c r="M43" s="4">
        <v>1684.6018700000002</v>
      </c>
      <c r="N43" s="4">
        <v>780.44938999999999</v>
      </c>
      <c r="O43" s="4">
        <v>904.03857999999991</v>
      </c>
      <c r="Q43" s="29">
        <v>11129.77</v>
      </c>
      <c r="R43" s="29">
        <v>6735.28</v>
      </c>
      <c r="S43" s="29">
        <v>7335.97</v>
      </c>
    </row>
    <row r="44" spans="1:19" x14ac:dyDescent="0.2">
      <c r="A44" s="38">
        <v>24</v>
      </c>
      <c r="B44" s="3" t="s">
        <v>43</v>
      </c>
      <c r="C44" s="3">
        <v>4</v>
      </c>
      <c r="D44" s="3">
        <v>0</v>
      </c>
      <c r="E44" s="3">
        <v>93</v>
      </c>
      <c r="F44" s="31">
        <f t="shared" si="2"/>
        <v>97</v>
      </c>
      <c r="H44" s="4">
        <v>154.5</v>
      </c>
      <c r="I44" s="4">
        <v>0</v>
      </c>
      <c r="J44" s="4">
        <v>145.47999999999999</v>
      </c>
      <c r="K44" s="4">
        <v>145.9</v>
      </c>
      <c r="M44" s="4">
        <v>840.25</v>
      </c>
      <c r="N44" s="4">
        <v>953.76801</v>
      </c>
      <c r="O44" s="4">
        <v>947.94656999999995</v>
      </c>
      <c r="Q44" s="29">
        <v>5506.87</v>
      </c>
      <c r="R44" s="29">
        <v>6587.13</v>
      </c>
      <c r="S44" s="29">
        <v>6531.73</v>
      </c>
    </row>
    <row r="45" spans="1:19" x14ac:dyDescent="0.2">
      <c r="A45" s="38">
        <v>25</v>
      </c>
      <c r="B45" s="3" t="s">
        <v>44</v>
      </c>
      <c r="C45" s="3">
        <v>47</v>
      </c>
      <c r="D45" s="3">
        <v>0</v>
      </c>
      <c r="E45" s="3">
        <v>142</v>
      </c>
      <c r="F45" s="31">
        <f t="shared" si="2"/>
        <v>189</v>
      </c>
      <c r="H45" s="4">
        <v>94.3</v>
      </c>
      <c r="I45" s="4">
        <v>0</v>
      </c>
      <c r="J45" s="4">
        <v>133.54</v>
      </c>
      <c r="K45" s="4">
        <v>122.95</v>
      </c>
      <c r="M45" s="4">
        <v>681.02273000000002</v>
      </c>
      <c r="N45" s="4">
        <v>842.64551000000006</v>
      </c>
      <c r="O45" s="4">
        <v>799.01727000000005</v>
      </c>
      <c r="Q45" s="29">
        <v>7658.61</v>
      </c>
      <c r="R45" s="29">
        <v>6396.61</v>
      </c>
      <c r="S45" s="29">
        <v>6737.27</v>
      </c>
    </row>
    <row r="46" spans="1:19" x14ac:dyDescent="0.2">
      <c r="A46" s="38">
        <v>26</v>
      </c>
      <c r="B46" s="3" t="s">
        <v>45</v>
      </c>
      <c r="C46" s="3">
        <v>80</v>
      </c>
      <c r="D46" s="3">
        <v>0</v>
      </c>
      <c r="E46" s="3">
        <v>357</v>
      </c>
      <c r="F46" s="31">
        <f t="shared" si="2"/>
        <v>437</v>
      </c>
      <c r="H46" s="4">
        <v>119.94</v>
      </c>
      <c r="I46" s="4">
        <v>0</v>
      </c>
      <c r="J46" s="4">
        <v>139.16999999999999</v>
      </c>
      <c r="K46" s="4">
        <v>135.87</v>
      </c>
      <c r="M46" s="4">
        <v>688.7346</v>
      </c>
      <c r="N46" s="4">
        <v>798.84114999999997</v>
      </c>
      <c r="O46" s="4">
        <v>779.72938999999997</v>
      </c>
      <c r="Q46" s="29">
        <v>5912.66</v>
      </c>
      <c r="R46" s="29">
        <v>5837.66</v>
      </c>
      <c r="S46" s="29">
        <v>5850.68</v>
      </c>
    </row>
    <row r="47" spans="1:19" x14ac:dyDescent="0.2">
      <c r="A47" s="38">
        <v>27</v>
      </c>
      <c r="B47" s="3" t="s">
        <v>46</v>
      </c>
      <c r="C47" s="3">
        <v>14</v>
      </c>
      <c r="D47" s="3">
        <v>0</v>
      </c>
      <c r="E47" s="3">
        <v>180</v>
      </c>
      <c r="F47" s="31">
        <f t="shared" si="2"/>
        <v>194</v>
      </c>
      <c r="H47" s="4">
        <v>68.099999999999994</v>
      </c>
      <c r="I47" s="4">
        <v>0</v>
      </c>
      <c r="J47" s="4">
        <v>110.13</v>
      </c>
      <c r="K47" s="4">
        <v>107.7</v>
      </c>
      <c r="M47" s="4">
        <v>393.3</v>
      </c>
      <c r="N47" s="4">
        <v>499.99187999999998</v>
      </c>
      <c r="O47" s="4">
        <v>493.60314</v>
      </c>
      <c r="Q47" s="29">
        <v>5970.19</v>
      </c>
      <c r="R47" s="29">
        <v>4724.96</v>
      </c>
      <c r="S47" s="29">
        <v>4799.5200000000004</v>
      </c>
    </row>
    <row r="48" spans="1:19" x14ac:dyDescent="0.2">
      <c r="A48" s="38">
        <v>28</v>
      </c>
      <c r="B48" s="3" t="s">
        <v>47</v>
      </c>
      <c r="C48" s="3">
        <v>54</v>
      </c>
      <c r="D48" s="3">
        <v>0</v>
      </c>
      <c r="E48" s="3">
        <v>86</v>
      </c>
      <c r="F48" s="31">
        <f t="shared" si="2"/>
        <v>140</v>
      </c>
      <c r="H48" s="4">
        <v>104.06</v>
      </c>
      <c r="I48" s="4">
        <v>0</v>
      </c>
      <c r="J48" s="4">
        <v>93.24</v>
      </c>
      <c r="K48" s="4">
        <v>97.69</v>
      </c>
      <c r="M48" s="4">
        <v>426.39615999999995</v>
      </c>
      <c r="N48" s="4">
        <v>389.75619</v>
      </c>
      <c r="O48" s="4">
        <v>405.41682000000003</v>
      </c>
      <c r="Q48" s="29">
        <v>4699.82</v>
      </c>
      <c r="R48" s="29">
        <v>4110.12</v>
      </c>
      <c r="S48" s="29">
        <v>4362.17</v>
      </c>
    </row>
    <row r="49" spans="1:19" x14ac:dyDescent="0.2">
      <c r="A49" s="38">
        <v>29</v>
      </c>
      <c r="B49" s="3" t="s">
        <v>48</v>
      </c>
      <c r="C49" s="3">
        <v>15</v>
      </c>
      <c r="D49" s="3">
        <v>0</v>
      </c>
      <c r="E49" s="3">
        <v>43</v>
      </c>
      <c r="F49" s="31">
        <f t="shared" si="2"/>
        <v>58</v>
      </c>
      <c r="H49" s="4">
        <v>61.29</v>
      </c>
      <c r="I49" s="4">
        <v>0</v>
      </c>
      <c r="J49" s="4">
        <v>69.95</v>
      </c>
      <c r="K49" s="4">
        <v>67.7</v>
      </c>
      <c r="M49" s="4">
        <v>217.64285999999998</v>
      </c>
      <c r="N49" s="4">
        <v>243.31049999999999</v>
      </c>
      <c r="O49" s="4">
        <v>236.53037</v>
      </c>
      <c r="Q49" s="29">
        <v>3490.7</v>
      </c>
      <c r="R49" s="29">
        <v>3447.29</v>
      </c>
      <c r="S49" s="29">
        <v>3458.76</v>
      </c>
    </row>
    <row r="50" spans="1:19" x14ac:dyDescent="0.2">
      <c r="A50" s="38">
        <v>30</v>
      </c>
      <c r="B50" s="3" t="s">
        <v>49</v>
      </c>
      <c r="C50" s="3">
        <v>6</v>
      </c>
      <c r="D50" s="3">
        <v>0</v>
      </c>
      <c r="E50" s="3">
        <v>118</v>
      </c>
      <c r="F50" s="31">
        <f t="shared" si="2"/>
        <v>124</v>
      </c>
      <c r="H50" s="4">
        <v>84.6</v>
      </c>
      <c r="I50" s="4">
        <v>0</v>
      </c>
      <c r="J50" s="4">
        <v>83.14</v>
      </c>
      <c r="K50" s="4">
        <v>83.2</v>
      </c>
      <c r="M50" s="4">
        <v>462</v>
      </c>
      <c r="N50" s="4">
        <v>386.36548999999997</v>
      </c>
      <c r="O50" s="4">
        <v>389.68278999999995</v>
      </c>
      <c r="Q50" s="29">
        <v>5413.17</v>
      </c>
      <c r="R50" s="29">
        <v>4855.28</v>
      </c>
      <c r="S50" s="29">
        <v>4879.75</v>
      </c>
    </row>
    <row r="51" spans="1:19" x14ac:dyDescent="0.2">
      <c r="A51" s="38">
        <v>31</v>
      </c>
      <c r="B51" s="3" t="s">
        <v>50</v>
      </c>
      <c r="C51" s="3">
        <v>22</v>
      </c>
      <c r="D51" s="3">
        <v>0</v>
      </c>
      <c r="E51" s="3">
        <v>399</v>
      </c>
      <c r="F51" s="31">
        <f t="shared" si="2"/>
        <v>421</v>
      </c>
      <c r="H51" s="4">
        <v>111.41</v>
      </c>
      <c r="I51" s="4">
        <v>0</v>
      </c>
      <c r="J51" s="4">
        <v>78.430000000000007</v>
      </c>
      <c r="K51" s="4">
        <v>79.95</v>
      </c>
      <c r="M51" s="4">
        <v>1383.1659399999999</v>
      </c>
      <c r="N51" s="4">
        <v>383.13036999999997</v>
      </c>
      <c r="O51" s="4">
        <v>429.32767000000001</v>
      </c>
      <c r="Q51" s="29">
        <v>8105.21</v>
      </c>
      <c r="R51" s="29">
        <v>5015.28</v>
      </c>
      <c r="S51" s="29">
        <v>5158.0200000000004</v>
      </c>
    </row>
    <row r="52" spans="1:19" x14ac:dyDescent="0.2">
      <c r="A52" s="38">
        <v>32</v>
      </c>
      <c r="B52" s="3" t="s">
        <v>51</v>
      </c>
      <c r="C52" s="3">
        <v>8</v>
      </c>
      <c r="D52" s="3">
        <v>0</v>
      </c>
      <c r="E52" s="3">
        <v>272</v>
      </c>
      <c r="F52" s="31">
        <f t="shared" si="2"/>
        <v>280</v>
      </c>
      <c r="H52" s="4">
        <v>104.63</v>
      </c>
      <c r="I52" s="4">
        <v>0</v>
      </c>
      <c r="J52" s="4">
        <v>72.03</v>
      </c>
      <c r="K52" s="4">
        <v>73.010000000000005</v>
      </c>
      <c r="M52" s="4">
        <v>659.65001000000007</v>
      </c>
      <c r="N52" s="4">
        <v>328.73351000000002</v>
      </c>
      <c r="O52" s="4">
        <v>338.76128000000006</v>
      </c>
      <c r="Q52" s="29">
        <v>6465.16</v>
      </c>
      <c r="R52" s="29">
        <v>4657.53</v>
      </c>
      <c r="S52" s="29">
        <v>4712.3100000000004</v>
      </c>
    </row>
    <row r="53" spans="1:19" x14ac:dyDescent="0.2">
      <c r="A53" s="38">
        <v>33</v>
      </c>
      <c r="B53" s="3" t="s">
        <v>52</v>
      </c>
      <c r="C53" s="3">
        <v>16</v>
      </c>
      <c r="D53" s="3">
        <v>0</v>
      </c>
      <c r="E53" s="3">
        <v>195</v>
      </c>
      <c r="F53" s="31">
        <f t="shared" si="2"/>
        <v>211</v>
      </c>
      <c r="H53" s="4">
        <v>60.73</v>
      </c>
      <c r="I53" s="4">
        <v>0</v>
      </c>
      <c r="J53" s="4">
        <v>73.88</v>
      </c>
      <c r="K53" s="4">
        <v>72.83</v>
      </c>
      <c r="M53" s="4">
        <v>244.14285999999998</v>
      </c>
      <c r="N53" s="4">
        <v>280.23417000000001</v>
      </c>
      <c r="O53" s="4">
        <v>277.48809</v>
      </c>
      <c r="Q53" s="29">
        <v>4070.59</v>
      </c>
      <c r="R53" s="29">
        <v>3938.6</v>
      </c>
      <c r="S53" s="29">
        <v>3948.64</v>
      </c>
    </row>
    <row r="54" spans="1:19" x14ac:dyDescent="0.2">
      <c r="A54" s="38">
        <v>34</v>
      </c>
      <c r="B54" s="3" t="s">
        <v>53</v>
      </c>
      <c r="C54" s="3">
        <v>0</v>
      </c>
      <c r="D54" s="3">
        <v>0</v>
      </c>
      <c r="E54" s="3">
        <v>84</v>
      </c>
      <c r="F54" s="31">
        <f t="shared" si="2"/>
        <v>84</v>
      </c>
      <c r="H54" s="4">
        <v>0</v>
      </c>
      <c r="I54" s="4">
        <v>0</v>
      </c>
      <c r="J54" s="4">
        <v>63.67</v>
      </c>
      <c r="K54" s="4">
        <v>63.67</v>
      </c>
      <c r="M54" s="4">
        <v>0</v>
      </c>
      <c r="N54" s="4">
        <v>196.88576999999998</v>
      </c>
      <c r="O54" s="4">
        <v>196.88576999999998</v>
      </c>
      <c r="Q54" s="29">
        <v>0</v>
      </c>
      <c r="R54" s="29">
        <v>3086.36</v>
      </c>
      <c r="S54" s="29">
        <v>3086.36</v>
      </c>
    </row>
    <row r="55" spans="1:19" x14ac:dyDescent="0.2">
      <c r="A55" s="38">
        <v>35</v>
      </c>
      <c r="B55" s="3" t="s">
        <v>54</v>
      </c>
      <c r="C55" s="3">
        <v>31</v>
      </c>
      <c r="D55" s="3">
        <v>0</v>
      </c>
      <c r="E55" s="3">
        <v>278</v>
      </c>
      <c r="F55" s="31">
        <f t="shared" si="2"/>
        <v>309</v>
      </c>
      <c r="H55" s="4">
        <v>73.900000000000006</v>
      </c>
      <c r="I55" s="4">
        <v>0</v>
      </c>
      <c r="J55" s="4">
        <v>75.290000000000006</v>
      </c>
      <c r="K55" s="4">
        <v>75.14</v>
      </c>
      <c r="M55" s="4">
        <v>377.83046999999999</v>
      </c>
      <c r="N55" s="4">
        <v>262.42268999999999</v>
      </c>
      <c r="O55" s="4">
        <v>275.01263</v>
      </c>
      <c r="Q55" s="29">
        <v>5839.72</v>
      </c>
      <c r="R55" s="29">
        <v>3628.62</v>
      </c>
      <c r="S55" s="29">
        <v>3869.83</v>
      </c>
    </row>
    <row r="56" spans="1:19" x14ac:dyDescent="0.2">
      <c r="A56" s="38">
        <v>36</v>
      </c>
      <c r="B56" s="3" t="s">
        <v>55</v>
      </c>
      <c r="C56" s="3">
        <v>8</v>
      </c>
      <c r="D56" s="3">
        <v>0</v>
      </c>
      <c r="E56" s="3">
        <v>70</v>
      </c>
      <c r="F56" s="31">
        <f t="shared" si="2"/>
        <v>78</v>
      </c>
      <c r="H56" s="4">
        <v>92.63</v>
      </c>
      <c r="I56" s="4">
        <v>0</v>
      </c>
      <c r="J56" s="4">
        <v>81.849999999999994</v>
      </c>
      <c r="K56" s="4">
        <v>83.03</v>
      </c>
      <c r="M56" s="4">
        <v>552.66250000000002</v>
      </c>
      <c r="N56" s="4">
        <v>319.67250999999999</v>
      </c>
      <c r="O56" s="4">
        <v>345.20565999999997</v>
      </c>
      <c r="Q56" s="29">
        <v>6637.47</v>
      </c>
      <c r="R56" s="29">
        <v>4089.82</v>
      </c>
      <c r="S56" s="29">
        <v>4369.01</v>
      </c>
    </row>
    <row r="57" spans="1:19" x14ac:dyDescent="0.2">
      <c r="A57" s="38">
        <v>37</v>
      </c>
      <c r="B57" s="3" t="s">
        <v>56</v>
      </c>
      <c r="C57" s="3">
        <v>38</v>
      </c>
      <c r="D57" s="3">
        <v>3</v>
      </c>
      <c r="E57" s="3">
        <v>241</v>
      </c>
      <c r="F57" s="31">
        <f t="shared" si="2"/>
        <v>282</v>
      </c>
      <c r="H57" s="4">
        <v>63.51</v>
      </c>
      <c r="I57" s="4">
        <v>83.33</v>
      </c>
      <c r="J57" s="4">
        <v>61.28</v>
      </c>
      <c r="K57" s="4">
        <v>61.85</v>
      </c>
      <c r="M57" s="4">
        <v>157.47027</v>
      </c>
      <c r="N57" s="4">
        <v>149.24424999999999</v>
      </c>
      <c r="O57" s="4">
        <v>150.47152</v>
      </c>
      <c r="Q57" s="29">
        <v>2540.0300000000002</v>
      </c>
      <c r="R57" s="29">
        <v>2569.44</v>
      </c>
      <c r="S57" s="29">
        <v>2565.0500000000002</v>
      </c>
    </row>
    <row r="58" spans="1:19" x14ac:dyDescent="0.2">
      <c r="A58" s="38">
        <v>38</v>
      </c>
      <c r="B58" s="3" t="s">
        <v>57</v>
      </c>
      <c r="C58" s="3">
        <v>37</v>
      </c>
      <c r="D58" s="3">
        <v>1</v>
      </c>
      <c r="E58" s="3">
        <v>84</v>
      </c>
      <c r="F58" s="31">
        <f t="shared" si="2"/>
        <v>122</v>
      </c>
      <c r="H58" s="4">
        <v>67.459999999999994</v>
      </c>
      <c r="I58" s="4">
        <v>44</v>
      </c>
      <c r="J58" s="4">
        <v>64.680000000000007</v>
      </c>
      <c r="K58" s="4">
        <v>65.349999999999994</v>
      </c>
      <c r="M58" s="4">
        <v>218.14986999999999</v>
      </c>
      <c r="N58" s="4">
        <v>173.57482000000002</v>
      </c>
      <c r="O58" s="4">
        <v>187.50451999999999</v>
      </c>
      <c r="Q58" s="29">
        <v>3164.04</v>
      </c>
      <c r="R58" s="29">
        <v>2707.95</v>
      </c>
      <c r="S58" s="29">
        <v>2850.48</v>
      </c>
    </row>
    <row r="59" spans="1:19" x14ac:dyDescent="0.2">
      <c r="A59" s="38">
        <v>39</v>
      </c>
      <c r="B59" s="3" t="s">
        <v>58</v>
      </c>
      <c r="C59" s="3">
        <v>23</v>
      </c>
      <c r="D59" s="3">
        <v>3</v>
      </c>
      <c r="E59" s="3">
        <v>34</v>
      </c>
      <c r="F59" s="31">
        <f t="shared" si="2"/>
        <v>60</v>
      </c>
      <c r="H59" s="4">
        <v>72.63</v>
      </c>
      <c r="I59" s="4">
        <v>60</v>
      </c>
      <c r="J59" s="4">
        <v>73.209999999999994</v>
      </c>
      <c r="K59" s="4">
        <v>72.27</v>
      </c>
      <c r="M59" s="4">
        <v>263.17187999999999</v>
      </c>
      <c r="N59" s="4">
        <v>216.21284</v>
      </c>
      <c r="O59" s="4">
        <v>231.86584999999999</v>
      </c>
      <c r="Q59" s="29">
        <v>3613.02</v>
      </c>
      <c r="R59" s="29">
        <v>2895.33</v>
      </c>
      <c r="S59" s="29">
        <v>3134.56</v>
      </c>
    </row>
    <row r="60" spans="1:19" x14ac:dyDescent="0.2">
      <c r="A60" s="38">
        <v>40</v>
      </c>
      <c r="B60" s="3" t="s">
        <v>59</v>
      </c>
      <c r="C60" s="3">
        <v>4</v>
      </c>
      <c r="D60" s="3">
        <v>0</v>
      </c>
      <c r="E60" s="3">
        <v>27</v>
      </c>
      <c r="F60" s="31">
        <f t="shared" si="2"/>
        <v>31</v>
      </c>
      <c r="H60" s="4">
        <v>62.25</v>
      </c>
      <c r="I60" s="4">
        <v>0</v>
      </c>
      <c r="J60" s="4">
        <v>61.54</v>
      </c>
      <c r="K60" s="4">
        <v>61.64</v>
      </c>
      <c r="M60" s="4">
        <v>174.5</v>
      </c>
      <c r="N60" s="4">
        <v>183.10119</v>
      </c>
      <c r="O60" s="4">
        <v>181.72499999999999</v>
      </c>
      <c r="Q60" s="29">
        <v>2814.37</v>
      </c>
      <c r="R60" s="29">
        <v>3057.53</v>
      </c>
      <c r="S60" s="29">
        <v>3018.62</v>
      </c>
    </row>
    <row r="61" spans="1:19" x14ac:dyDescent="0.2">
      <c r="A61" s="38">
        <v>41</v>
      </c>
      <c r="B61" s="3" t="s">
        <v>60</v>
      </c>
      <c r="C61" s="3">
        <v>2</v>
      </c>
      <c r="D61" s="3">
        <v>0</v>
      </c>
      <c r="E61" s="3">
        <v>27</v>
      </c>
      <c r="F61" s="31">
        <f t="shared" si="2"/>
        <v>29</v>
      </c>
      <c r="H61" s="4">
        <v>50</v>
      </c>
      <c r="I61" s="4">
        <v>0</v>
      </c>
      <c r="J61" s="4">
        <v>62.88</v>
      </c>
      <c r="K61" s="4">
        <v>62.4</v>
      </c>
      <c r="M61" s="4">
        <v>0</v>
      </c>
      <c r="N61" s="4">
        <v>256.46154000000001</v>
      </c>
      <c r="O61" s="4">
        <v>255.59259</v>
      </c>
      <c r="Q61" s="29">
        <v>0</v>
      </c>
      <c r="R61" s="29">
        <v>4193.6000000000004</v>
      </c>
      <c r="S61" s="29">
        <v>4210.87</v>
      </c>
    </row>
    <row r="62" spans="1:19" x14ac:dyDescent="0.2">
      <c r="A62" s="38">
        <v>42</v>
      </c>
      <c r="B62" s="3" t="s">
        <v>61</v>
      </c>
      <c r="C62" s="3">
        <v>78</v>
      </c>
      <c r="D62" s="3">
        <v>1</v>
      </c>
      <c r="E62" s="3">
        <v>1</v>
      </c>
      <c r="F62" s="31">
        <f t="shared" si="2"/>
        <v>80</v>
      </c>
      <c r="H62" s="4">
        <v>89.07</v>
      </c>
      <c r="I62" s="4">
        <v>88</v>
      </c>
      <c r="J62" s="4">
        <v>0</v>
      </c>
      <c r="K62" s="4">
        <v>89.06</v>
      </c>
      <c r="M62" s="4">
        <v>364.92338000000001</v>
      </c>
      <c r="N62" s="4">
        <v>0</v>
      </c>
      <c r="O62" s="4">
        <v>364.92338000000001</v>
      </c>
      <c r="Q62" s="29">
        <v>4029.35</v>
      </c>
      <c r="R62" s="29">
        <v>0</v>
      </c>
      <c r="S62" s="29">
        <v>4029.35</v>
      </c>
    </row>
    <row r="63" spans="1:19" x14ac:dyDescent="0.2">
      <c r="A63" s="38">
        <v>43</v>
      </c>
      <c r="B63" s="3" t="s">
        <v>62</v>
      </c>
      <c r="C63" s="3">
        <v>23</v>
      </c>
      <c r="D63" s="3">
        <v>4</v>
      </c>
      <c r="E63" s="3">
        <v>154</v>
      </c>
      <c r="F63" s="31">
        <f t="shared" si="2"/>
        <v>181</v>
      </c>
      <c r="H63" s="4">
        <v>82.67</v>
      </c>
      <c r="I63" s="4">
        <v>65</v>
      </c>
      <c r="J63" s="4">
        <v>71.02</v>
      </c>
      <c r="K63" s="4">
        <v>72.42</v>
      </c>
      <c r="M63" s="4">
        <v>344.65237999999999</v>
      </c>
      <c r="N63" s="4">
        <v>251.86281</v>
      </c>
      <c r="O63" s="4">
        <v>269.10689000000002</v>
      </c>
      <c r="Q63" s="29">
        <v>4249.07</v>
      </c>
      <c r="R63" s="29">
        <v>3474.05</v>
      </c>
      <c r="S63" s="29">
        <v>3618.08</v>
      </c>
    </row>
    <row r="64" spans="1:19" x14ac:dyDescent="0.2">
      <c r="A64" s="38">
        <v>44</v>
      </c>
      <c r="B64" s="3" t="s">
        <v>63</v>
      </c>
      <c r="C64" s="3">
        <v>2</v>
      </c>
      <c r="D64" s="3">
        <v>0</v>
      </c>
      <c r="E64" s="3">
        <v>188</v>
      </c>
      <c r="F64" s="31">
        <f t="shared" si="2"/>
        <v>190</v>
      </c>
      <c r="H64" s="4">
        <v>0</v>
      </c>
      <c r="I64" s="4">
        <v>0</v>
      </c>
      <c r="J64" s="4">
        <v>74.36</v>
      </c>
      <c r="K64" s="4">
        <v>74.36</v>
      </c>
      <c r="M64" s="4">
        <v>0</v>
      </c>
      <c r="N64" s="4">
        <v>261.04623000000004</v>
      </c>
      <c r="O64" s="4">
        <v>261.04623000000004</v>
      </c>
      <c r="Q64" s="29">
        <v>0</v>
      </c>
      <c r="R64" s="29">
        <v>3505.59</v>
      </c>
      <c r="S64" s="29">
        <v>3505.59</v>
      </c>
    </row>
    <row r="65" spans="1:19" x14ac:dyDescent="0.2">
      <c r="A65" s="38">
        <v>45</v>
      </c>
      <c r="B65" s="3" t="s">
        <v>64</v>
      </c>
      <c r="C65" s="3">
        <v>3</v>
      </c>
      <c r="D65" s="3">
        <v>1</v>
      </c>
      <c r="E65" s="3">
        <v>145</v>
      </c>
      <c r="F65" s="31">
        <f t="shared" si="2"/>
        <v>149</v>
      </c>
      <c r="H65" s="4">
        <v>65.33</v>
      </c>
      <c r="I65" s="4">
        <v>74</v>
      </c>
      <c r="J65" s="4">
        <v>64.25</v>
      </c>
      <c r="K65" s="4">
        <v>64.349999999999994</v>
      </c>
      <c r="M65" s="4">
        <v>90</v>
      </c>
      <c r="N65" s="4">
        <v>199.07607000000002</v>
      </c>
      <c r="O65" s="4">
        <v>194.71303</v>
      </c>
      <c r="Q65" s="29">
        <v>1377.62</v>
      </c>
      <c r="R65" s="29">
        <v>2986.41</v>
      </c>
      <c r="S65" s="29">
        <v>2922.06</v>
      </c>
    </row>
    <row r="66" spans="1:19" x14ac:dyDescent="0.2">
      <c r="A66" s="38">
        <v>46</v>
      </c>
      <c r="B66" s="3" t="s">
        <v>65</v>
      </c>
      <c r="C66" s="3">
        <v>2</v>
      </c>
      <c r="D66" s="3">
        <v>0</v>
      </c>
      <c r="E66" s="3">
        <v>157</v>
      </c>
      <c r="F66" s="31">
        <f t="shared" si="2"/>
        <v>159</v>
      </c>
      <c r="H66" s="4">
        <v>47</v>
      </c>
      <c r="I66" s="4">
        <v>0</v>
      </c>
      <c r="J66" s="4">
        <v>63.05</v>
      </c>
      <c r="K66" s="4">
        <v>62.83</v>
      </c>
      <c r="M66" s="4">
        <v>0</v>
      </c>
      <c r="N66" s="4">
        <v>167.70500000000001</v>
      </c>
      <c r="O66" s="4">
        <v>169.46289999999999</v>
      </c>
      <c r="Q66" s="29">
        <v>0</v>
      </c>
      <c r="R66" s="29">
        <v>2555.0300000000002</v>
      </c>
      <c r="S66" s="29">
        <v>2625.11</v>
      </c>
    </row>
    <row r="67" spans="1:19" x14ac:dyDescent="0.2">
      <c r="A67" s="38">
        <v>47</v>
      </c>
      <c r="B67" s="3" t="s">
        <v>66</v>
      </c>
      <c r="C67" s="3">
        <v>0</v>
      </c>
      <c r="D67" s="3">
        <v>0</v>
      </c>
      <c r="E67" s="3">
        <v>1</v>
      </c>
      <c r="F67" s="31">
        <f t="shared" si="2"/>
        <v>1</v>
      </c>
      <c r="H67" s="4">
        <v>0</v>
      </c>
      <c r="I67" s="4">
        <v>0</v>
      </c>
      <c r="J67" s="4">
        <v>90</v>
      </c>
      <c r="K67" s="4">
        <v>90</v>
      </c>
      <c r="M67" s="4">
        <v>0</v>
      </c>
      <c r="N67" s="4">
        <v>0</v>
      </c>
      <c r="O67" s="4">
        <v>0</v>
      </c>
      <c r="Q67" s="29">
        <v>0</v>
      </c>
      <c r="R67" s="29">
        <v>0</v>
      </c>
      <c r="S67" s="29">
        <v>0</v>
      </c>
    </row>
    <row r="68" spans="1:19" x14ac:dyDescent="0.2">
      <c r="A68" s="38">
        <v>48</v>
      </c>
      <c r="B68" s="3" t="s">
        <v>67</v>
      </c>
      <c r="C68" s="3">
        <v>0</v>
      </c>
      <c r="D68" s="3">
        <v>0</v>
      </c>
      <c r="E68" s="3">
        <v>92</v>
      </c>
      <c r="F68" s="31">
        <f t="shared" si="2"/>
        <v>92</v>
      </c>
      <c r="H68" s="4">
        <v>0</v>
      </c>
      <c r="I68" s="4">
        <v>0</v>
      </c>
      <c r="J68" s="4">
        <v>73.650000000000006</v>
      </c>
      <c r="K68" s="4">
        <v>73.650000000000006</v>
      </c>
      <c r="M68" s="4">
        <v>0</v>
      </c>
      <c r="N68" s="4">
        <v>206.14071999999999</v>
      </c>
      <c r="O68" s="4">
        <v>206.14071999999999</v>
      </c>
      <c r="Q68" s="29">
        <v>0</v>
      </c>
      <c r="R68" s="29">
        <v>2768.64</v>
      </c>
      <c r="S68" s="29">
        <v>2768.64</v>
      </c>
    </row>
    <row r="69" spans="1:19" x14ac:dyDescent="0.2">
      <c r="A69" s="38">
        <v>49</v>
      </c>
      <c r="B69" s="3" t="s">
        <v>68</v>
      </c>
      <c r="C69" s="3">
        <v>0</v>
      </c>
      <c r="D69" s="3">
        <v>0</v>
      </c>
      <c r="E69" s="3">
        <v>38</v>
      </c>
      <c r="F69" s="31">
        <f t="shared" si="2"/>
        <v>38</v>
      </c>
      <c r="H69" s="4">
        <v>0</v>
      </c>
      <c r="I69" s="4">
        <v>0</v>
      </c>
      <c r="J69" s="4">
        <v>71.430000000000007</v>
      </c>
      <c r="K69" s="4">
        <v>71.430000000000007</v>
      </c>
      <c r="M69" s="4">
        <v>0</v>
      </c>
      <c r="N69" s="4">
        <v>188.75845999999999</v>
      </c>
      <c r="O69" s="4">
        <v>188.75845999999999</v>
      </c>
      <c r="Q69" s="29">
        <v>0</v>
      </c>
      <c r="R69" s="29">
        <v>2844.09</v>
      </c>
      <c r="S69" s="29">
        <v>2844.09</v>
      </c>
    </row>
    <row r="70" spans="1:19" x14ac:dyDescent="0.2">
      <c r="A70" s="38">
        <v>50</v>
      </c>
      <c r="B70" s="3" t="s">
        <v>69</v>
      </c>
      <c r="C70" s="3">
        <v>0</v>
      </c>
      <c r="D70" s="3">
        <v>0</v>
      </c>
      <c r="E70" s="3">
        <v>181</v>
      </c>
      <c r="F70" s="31">
        <f t="shared" si="2"/>
        <v>181</v>
      </c>
      <c r="H70" s="4">
        <v>0</v>
      </c>
      <c r="I70" s="4">
        <v>0</v>
      </c>
      <c r="J70" s="4">
        <v>57.44</v>
      </c>
      <c r="K70" s="4">
        <v>57.44</v>
      </c>
      <c r="M70" s="4">
        <v>0</v>
      </c>
      <c r="N70" s="4">
        <v>132.19183999999998</v>
      </c>
      <c r="O70" s="4">
        <v>132.19183999999998</v>
      </c>
      <c r="Q70" s="29">
        <v>0</v>
      </c>
      <c r="R70" s="29">
        <v>2396.81</v>
      </c>
      <c r="S70" s="29">
        <v>2396.81</v>
      </c>
    </row>
    <row r="71" spans="1:19" x14ac:dyDescent="0.2">
      <c r="A71" s="38">
        <v>51</v>
      </c>
      <c r="B71" s="3" t="s">
        <v>70</v>
      </c>
      <c r="C71" s="3">
        <v>3</v>
      </c>
      <c r="D71" s="3">
        <v>0</v>
      </c>
      <c r="E71" s="3">
        <v>141</v>
      </c>
      <c r="F71" s="31">
        <f t="shared" si="2"/>
        <v>144</v>
      </c>
      <c r="H71" s="4">
        <v>64.33</v>
      </c>
      <c r="I71" s="4">
        <v>0</v>
      </c>
      <c r="J71" s="4">
        <v>60.39</v>
      </c>
      <c r="K71" s="4">
        <v>60.48</v>
      </c>
      <c r="M71" s="4">
        <v>187</v>
      </c>
      <c r="N71" s="4">
        <v>144.73684</v>
      </c>
      <c r="O71" s="4">
        <v>147.82926999999998</v>
      </c>
      <c r="Q71" s="29">
        <v>2910.75</v>
      </c>
      <c r="R71" s="29">
        <v>2368.37</v>
      </c>
      <c r="S71" s="29">
        <v>2408.06</v>
      </c>
    </row>
    <row r="72" spans="1:19" x14ac:dyDescent="0.2">
      <c r="A72" s="38">
        <v>52</v>
      </c>
      <c r="B72" s="3" t="s">
        <v>71</v>
      </c>
      <c r="C72" s="3">
        <v>2</v>
      </c>
      <c r="D72" s="3">
        <v>0</v>
      </c>
      <c r="E72" s="3">
        <v>213</v>
      </c>
      <c r="F72" s="31">
        <f t="shared" si="2"/>
        <v>215</v>
      </c>
      <c r="H72" s="4">
        <v>94.5</v>
      </c>
      <c r="I72" s="4">
        <v>0</v>
      </c>
      <c r="J72" s="4">
        <v>60.89</v>
      </c>
      <c r="K72" s="4">
        <v>61.25</v>
      </c>
      <c r="M72" s="4">
        <v>0</v>
      </c>
      <c r="N72" s="4">
        <v>165.10424</v>
      </c>
      <c r="O72" s="4">
        <v>165.84824</v>
      </c>
      <c r="Q72" s="29">
        <v>0</v>
      </c>
      <c r="R72" s="29">
        <v>2760.93</v>
      </c>
      <c r="S72" s="29">
        <v>2755.97</v>
      </c>
    </row>
    <row r="73" spans="1:19" x14ac:dyDescent="0.2">
      <c r="A73" s="38">
        <v>53</v>
      </c>
      <c r="B73" s="3" t="s">
        <v>72</v>
      </c>
      <c r="C73" s="3">
        <v>0</v>
      </c>
      <c r="D73" s="3">
        <v>0</v>
      </c>
      <c r="E73" s="3">
        <v>87</v>
      </c>
      <c r="F73" s="31">
        <f t="shared" si="2"/>
        <v>87</v>
      </c>
      <c r="H73" s="4">
        <v>0</v>
      </c>
      <c r="I73" s="4">
        <v>0</v>
      </c>
      <c r="J73" s="4">
        <v>60.88</v>
      </c>
      <c r="K73" s="4">
        <v>60.88</v>
      </c>
      <c r="M73" s="4">
        <v>0</v>
      </c>
      <c r="N73" s="4">
        <v>127.75605999999999</v>
      </c>
      <c r="O73" s="4">
        <v>127.75605999999999</v>
      </c>
      <c r="Q73" s="29">
        <v>0</v>
      </c>
      <c r="R73" s="29">
        <v>2193.96</v>
      </c>
      <c r="S73" s="29">
        <v>2193.96</v>
      </c>
    </row>
    <row r="74" spans="1:19" x14ac:dyDescent="0.2">
      <c r="A74" s="38">
        <v>54</v>
      </c>
      <c r="B74" s="3" t="s">
        <v>73</v>
      </c>
      <c r="C74" s="3">
        <v>0</v>
      </c>
      <c r="D74" s="3">
        <v>0</v>
      </c>
      <c r="E74" s="3">
        <v>8</v>
      </c>
      <c r="F74" s="31">
        <f t="shared" si="2"/>
        <v>8</v>
      </c>
      <c r="H74" s="4">
        <v>0</v>
      </c>
      <c r="I74" s="4">
        <v>0</v>
      </c>
      <c r="J74" s="4">
        <v>102.86</v>
      </c>
      <c r="K74" s="4">
        <v>102.86</v>
      </c>
      <c r="M74" s="4">
        <v>0</v>
      </c>
      <c r="N74" s="4">
        <v>146.83355</v>
      </c>
      <c r="O74" s="4">
        <v>146.83355</v>
      </c>
      <c r="Q74" s="29">
        <v>0</v>
      </c>
      <c r="R74" s="29">
        <v>1228.5</v>
      </c>
      <c r="S74" s="29">
        <v>1228.5</v>
      </c>
    </row>
    <row r="75" spans="1:19" x14ac:dyDescent="0.2">
      <c r="A75" s="38">
        <v>55</v>
      </c>
      <c r="B75" s="3" t="s">
        <v>74</v>
      </c>
      <c r="C75" s="3">
        <v>0</v>
      </c>
      <c r="D75" s="3">
        <v>0</v>
      </c>
      <c r="E75" s="3">
        <v>138</v>
      </c>
      <c r="F75" s="31">
        <f t="shared" si="2"/>
        <v>138</v>
      </c>
      <c r="H75" s="4">
        <v>0</v>
      </c>
      <c r="I75" s="4">
        <v>0</v>
      </c>
      <c r="J75" s="4">
        <v>59.05</v>
      </c>
      <c r="K75" s="4">
        <v>59.05</v>
      </c>
      <c r="M75" s="4">
        <v>0</v>
      </c>
      <c r="N75" s="4">
        <v>105.49556</v>
      </c>
      <c r="O75" s="4">
        <v>105.49556</v>
      </c>
      <c r="Q75" s="29">
        <v>0</v>
      </c>
      <c r="R75" s="29">
        <v>1728.68</v>
      </c>
      <c r="S75" s="29">
        <v>1728.68</v>
      </c>
    </row>
    <row r="76" spans="1:19" x14ac:dyDescent="0.2">
      <c r="A76" s="38">
        <v>56</v>
      </c>
      <c r="B76" s="3" t="s">
        <v>75</v>
      </c>
      <c r="C76" s="3">
        <v>0</v>
      </c>
      <c r="D76" s="3">
        <v>0</v>
      </c>
      <c r="E76" s="3">
        <v>6</v>
      </c>
      <c r="F76" s="31">
        <f t="shared" si="2"/>
        <v>6</v>
      </c>
      <c r="H76" s="4">
        <v>0</v>
      </c>
      <c r="I76" s="4">
        <v>0</v>
      </c>
      <c r="J76" s="4">
        <v>77.33</v>
      </c>
      <c r="K76" s="4">
        <v>77.33</v>
      </c>
      <c r="M76" s="4">
        <v>0</v>
      </c>
      <c r="N76" s="4">
        <v>158.5</v>
      </c>
      <c r="O76" s="4">
        <v>158.5</v>
      </c>
      <c r="Q76" s="29">
        <v>0</v>
      </c>
      <c r="R76" s="29">
        <v>1942.49</v>
      </c>
      <c r="S76" s="29">
        <v>1942.49</v>
      </c>
    </row>
    <row r="77" spans="1:19" x14ac:dyDescent="0.2">
      <c r="A77" s="38">
        <v>57</v>
      </c>
      <c r="B77" s="3" t="s">
        <v>76</v>
      </c>
      <c r="C77" s="3">
        <v>27</v>
      </c>
      <c r="D77" s="3">
        <v>0</v>
      </c>
      <c r="E77" s="3">
        <v>132</v>
      </c>
      <c r="F77" s="31">
        <f t="shared" si="2"/>
        <v>159</v>
      </c>
      <c r="H77" s="4">
        <v>61.44</v>
      </c>
      <c r="I77" s="4">
        <v>0</v>
      </c>
      <c r="J77" s="4">
        <v>60.37</v>
      </c>
      <c r="K77" s="4">
        <v>60.56</v>
      </c>
      <c r="M77" s="4">
        <v>223.69855999999999</v>
      </c>
      <c r="N77" s="4">
        <v>131.35404</v>
      </c>
      <c r="O77" s="4">
        <v>172.22783999999999</v>
      </c>
      <c r="Q77" s="29">
        <v>3715.01</v>
      </c>
      <c r="R77" s="29">
        <v>2167.8200000000002</v>
      </c>
      <c r="S77" s="29">
        <v>2852.64</v>
      </c>
    </row>
    <row r="78" spans="1:19" x14ac:dyDescent="0.2">
      <c r="A78" s="38">
        <v>58</v>
      </c>
      <c r="B78" s="3" t="s">
        <v>77</v>
      </c>
      <c r="C78" s="3">
        <v>0</v>
      </c>
      <c r="D78" s="3">
        <v>0</v>
      </c>
      <c r="E78" s="3">
        <v>26</v>
      </c>
      <c r="F78" s="31">
        <f t="shared" si="2"/>
        <v>26</v>
      </c>
      <c r="H78" s="4">
        <v>0</v>
      </c>
      <c r="I78" s="4">
        <v>0</v>
      </c>
      <c r="J78" s="4">
        <v>70.959999999999994</v>
      </c>
      <c r="K78" s="4">
        <v>70.959999999999994</v>
      </c>
      <c r="M78" s="4">
        <v>0</v>
      </c>
      <c r="N78" s="4">
        <v>0</v>
      </c>
      <c r="O78" s="4">
        <v>0</v>
      </c>
      <c r="Q78" s="29">
        <v>0</v>
      </c>
      <c r="R78" s="29">
        <v>0</v>
      </c>
      <c r="S78" s="29">
        <v>0</v>
      </c>
    </row>
    <row r="79" spans="1:19" x14ac:dyDescent="0.2">
      <c r="A79" s="38">
        <v>59</v>
      </c>
      <c r="B79" s="3" t="s">
        <v>78</v>
      </c>
      <c r="C79" s="3">
        <v>6</v>
      </c>
      <c r="D79" s="3">
        <v>11</v>
      </c>
      <c r="E79" s="3">
        <v>87</v>
      </c>
      <c r="F79" s="31">
        <f t="shared" si="2"/>
        <v>104</v>
      </c>
      <c r="H79" s="4">
        <v>80</v>
      </c>
      <c r="I79" s="4">
        <v>75.09</v>
      </c>
      <c r="J79" s="4">
        <v>70.22</v>
      </c>
      <c r="K79" s="4">
        <v>71.39</v>
      </c>
      <c r="M79" s="4">
        <v>141.92010999999999</v>
      </c>
      <c r="N79" s="4">
        <v>170.22677999999999</v>
      </c>
      <c r="O79" s="4">
        <v>168.12998999999999</v>
      </c>
      <c r="Q79" s="29">
        <v>1700.6</v>
      </c>
      <c r="R79" s="29">
        <v>2360.2800000000002</v>
      </c>
      <c r="S79" s="29">
        <v>2311.41</v>
      </c>
    </row>
    <row r="80" spans="1:19" x14ac:dyDescent="0.2">
      <c r="A80" s="38">
        <v>60</v>
      </c>
      <c r="B80" s="3" t="s">
        <v>17</v>
      </c>
      <c r="C80" s="3">
        <v>7</v>
      </c>
      <c r="D80" s="3">
        <v>0</v>
      </c>
      <c r="E80" s="3">
        <v>405</v>
      </c>
      <c r="F80" s="31">
        <f t="shared" si="2"/>
        <v>412</v>
      </c>
      <c r="H80" s="4">
        <v>92.29</v>
      </c>
      <c r="I80" s="4">
        <v>0</v>
      </c>
      <c r="J80" s="4">
        <v>74.53</v>
      </c>
      <c r="K80" s="4">
        <v>74.87</v>
      </c>
      <c r="M80" s="4">
        <v>333.72971000000001</v>
      </c>
      <c r="N80" s="4">
        <v>299.17637000000002</v>
      </c>
      <c r="O80" s="4">
        <v>300.52010999999999</v>
      </c>
      <c r="Q80" s="29">
        <v>3876.38</v>
      </c>
      <c r="R80" s="29">
        <v>3816.69</v>
      </c>
      <c r="S80" s="29">
        <v>3819.01</v>
      </c>
    </row>
    <row r="81" spans="1:19" x14ac:dyDescent="0.2">
      <c r="A81" s="38">
        <v>61</v>
      </c>
      <c r="B81" s="3" t="s">
        <v>79</v>
      </c>
      <c r="C81" s="3">
        <v>2</v>
      </c>
      <c r="D81" s="3">
        <v>0</v>
      </c>
      <c r="E81" s="3">
        <v>201</v>
      </c>
      <c r="F81" s="31">
        <f t="shared" si="2"/>
        <v>203</v>
      </c>
      <c r="H81" s="4">
        <v>96</v>
      </c>
      <c r="I81" s="4">
        <v>0</v>
      </c>
      <c r="J81" s="4">
        <v>69.92</v>
      </c>
      <c r="K81" s="4">
        <v>70.2</v>
      </c>
      <c r="M81" s="4">
        <v>0</v>
      </c>
      <c r="N81" s="4">
        <v>265.72384000000005</v>
      </c>
      <c r="O81" s="4">
        <v>266.37387000000001</v>
      </c>
      <c r="Q81" s="29">
        <v>0</v>
      </c>
      <c r="R81" s="29">
        <v>3870.88</v>
      </c>
      <c r="S81" s="29">
        <v>3858.48</v>
      </c>
    </row>
    <row r="82" spans="1:19" x14ac:dyDescent="0.2">
      <c r="A82" s="38">
        <v>62</v>
      </c>
      <c r="B82" s="3" t="s">
        <v>80</v>
      </c>
      <c r="C82" s="3">
        <v>5</v>
      </c>
      <c r="D82" s="3">
        <v>0</v>
      </c>
      <c r="E82" s="3">
        <v>109</v>
      </c>
      <c r="F82" s="31">
        <f t="shared" si="2"/>
        <v>114</v>
      </c>
      <c r="H82" s="4">
        <v>73.5</v>
      </c>
      <c r="I82" s="4">
        <v>0</v>
      </c>
      <c r="J82" s="4">
        <v>71.86</v>
      </c>
      <c r="K82" s="4">
        <v>71.92</v>
      </c>
      <c r="M82" s="4">
        <v>329.75024999999999</v>
      </c>
      <c r="N82" s="4">
        <v>255.30425</v>
      </c>
      <c r="O82" s="4">
        <v>260.10721999999998</v>
      </c>
      <c r="Q82" s="29">
        <v>3993.73</v>
      </c>
      <c r="R82" s="29">
        <v>3565.53</v>
      </c>
      <c r="S82" s="29">
        <v>3593.16</v>
      </c>
    </row>
    <row r="83" spans="1:19" x14ac:dyDescent="0.2">
      <c r="A83" s="38">
        <v>63</v>
      </c>
      <c r="B83" s="2" t="s">
        <v>81</v>
      </c>
      <c r="C83" s="3">
        <v>3</v>
      </c>
      <c r="D83" s="3">
        <v>0</v>
      </c>
      <c r="E83" s="3">
        <v>186</v>
      </c>
      <c r="F83" s="31">
        <f t="shared" si="2"/>
        <v>189</v>
      </c>
      <c r="H83" s="4">
        <v>80</v>
      </c>
      <c r="I83" s="4">
        <v>0</v>
      </c>
      <c r="J83" s="4">
        <v>77.010000000000005</v>
      </c>
      <c r="K83" s="4">
        <v>77.05</v>
      </c>
      <c r="M83" s="4">
        <v>428</v>
      </c>
      <c r="N83" s="4">
        <v>313.88121999999998</v>
      </c>
      <c r="O83" s="4">
        <v>315.53512000000001</v>
      </c>
      <c r="Q83" s="29">
        <v>5350</v>
      </c>
      <c r="R83" s="29">
        <v>3990.61</v>
      </c>
      <c r="S83" s="29">
        <v>4010.31</v>
      </c>
    </row>
    <row r="84" spans="1:19" x14ac:dyDescent="0.2">
      <c r="A84" s="38">
        <v>64</v>
      </c>
      <c r="B84" s="2" t="s">
        <v>82</v>
      </c>
      <c r="C84" s="3">
        <v>3</v>
      </c>
      <c r="D84" s="3">
        <v>0</v>
      </c>
      <c r="E84" s="3">
        <v>304</v>
      </c>
      <c r="F84" s="31">
        <f t="shared" si="2"/>
        <v>307</v>
      </c>
      <c r="H84" s="4">
        <v>49</v>
      </c>
      <c r="I84" s="4">
        <v>0</v>
      </c>
      <c r="J84" s="4">
        <v>72.42</v>
      </c>
      <c r="K84" s="4">
        <v>72.17</v>
      </c>
      <c r="M84" s="4">
        <v>254.36667</v>
      </c>
      <c r="N84" s="4">
        <v>282.65201000000002</v>
      </c>
      <c r="O84" s="4">
        <v>282.33300000000003</v>
      </c>
      <c r="Q84" s="29">
        <v>5140.5200000000004</v>
      </c>
      <c r="R84" s="29">
        <v>4043.92</v>
      </c>
      <c r="S84" s="29">
        <v>4056.29</v>
      </c>
    </row>
    <row r="85" spans="1:19" x14ac:dyDescent="0.2">
      <c r="A85" s="38">
        <v>65</v>
      </c>
      <c r="B85" s="2" t="s">
        <v>83</v>
      </c>
      <c r="C85" s="3">
        <v>15</v>
      </c>
      <c r="D85" s="3">
        <v>0</v>
      </c>
      <c r="E85" s="3">
        <v>147</v>
      </c>
      <c r="F85" s="31">
        <f t="shared" ref="F85:F93" si="3">SUM(C85:E85)</f>
        <v>162</v>
      </c>
      <c r="H85" s="4">
        <v>59.2</v>
      </c>
      <c r="I85" s="4">
        <v>0</v>
      </c>
      <c r="J85" s="4">
        <v>72.569999999999993</v>
      </c>
      <c r="K85" s="4">
        <v>71.23</v>
      </c>
      <c r="M85" s="4">
        <v>272.16000000000003</v>
      </c>
      <c r="N85" s="4">
        <v>231.75470000000001</v>
      </c>
      <c r="O85" s="4">
        <v>239.05685999999997</v>
      </c>
      <c r="Q85" s="29">
        <v>4433.32</v>
      </c>
      <c r="R85" s="29">
        <v>3379.09</v>
      </c>
      <c r="S85" s="29">
        <v>3569.61</v>
      </c>
    </row>
    <row r="86" spans="1:19" x14ac:dyDescent="0.2">
      <c r="A86" s="38">
        <v>66</v>
      </c>
      <c r="B86" s="2" t="s">
        <v>84</v>
      </c>
      <c r="C86" s="3">
        <v>47</v>
      </c>
      <c r="D86" s="3">
        <v>1</v>
      </c>
      <c r="E86" s="3">
        <v>112</v>
      </c>
      <c r="F86" s="31">
        <f t="shared" si="3"/>
        <v>160</v>
      </c>
      <c r="H86" s="4">
        <v>89.83</v>
      </c>
      <c r="I86" s="4">
        <v>56</v>
      </c>
      <c r="J86" s="4">
        <v>79.040000000000006</v>
      </c>
      <c r="K86" s="4">
        <v>82.2</v>
      </c>
      <c r="M86" s="4">
        <v>582.70915000000002</v>
      </c>
      <c r="N86" s="4">
        <v>361.65269000000001</v>
      </c>
      <c r="O86" s="4">
        <v>431.38190999999995</v>
      </c>
      <c r="Q86" s="29">
        <v>6438.9</v>
      </c>
      <c r="R86" s="29">
        <v>4595.8900000000003</v>
      </c>
      <c r="S86" s="29">
        <v>5177.24</v>
      </c>
    </row>
    <row r="87" spans="1:19" x14ac:dyDescent="0.2">
      <c r="A87" s="38">
        <v>67</v>
      </c>
      <c r="B87" s="2" t="s">
        <v>85</v>
      </c>
      <c r="C87" s="3">
        <v>0</v>
      </c>
      <c r="D87" s="3">
        <v>0</v>
      </c>
      <c r="E87" s="3">
        <v>49</v>
      </c>
      <c r="F87" s="31">
        <f t="shared" si="3"/>
        <v>49</v>
      </c>
      <c r="H87" s="4">
        <v>0</v>
      </c>
      <c r="I87" s="4">
        <v>0</v>
      </c>
      <c r="J87" s="4">
        <v>93.22</v>
      </c>
      <c r="K87" s="4">
        <v>93.22</v>
      </c>
      <c r="M87" s="4">
        <v>0</v>
      </c>
      <c r="N87" s="4">
        <v>514.56412999999998</v>
      </c>
      <c r="O87" s="4">
        <v>514.56412999999998</v>
      </c>
      <c r="Q87" s="29">
        <v>0</v>
      </c>
      <c r="R87" s="29">
        <v>5577.03</v>
      </c>
      <c r="S87" s="29">
        <v>5577.03</v>
      </c>
    </row>
    <row r="88" spans="1:19" x14ac:dyDescent="0.2">
      <c r="A88" s="38">
        <v>68</v>
      </c>
      <c r="B88" s="2" t="s">
        <v>86</v>
      </c>
      <c r="C88" s="3">
        <v>62</v>
      </c>
      <c r="D88" s="3">
        <v>31</v>
      </c>
      <c r="E88" s="3">
        <v>258</v>
      </c>
      <c r="F88" s="31">
        <f t="shared" si="3"/>
        <v>351</v>
      </c>
      <c r="H88" s="4">
        <v>62.92</v>
      </c>
      <c r="I88" s="4">
        <v>57.71</v>
      </c>
      <c r="J88" s="4">
        <v>73.349999999999994</v>
      </c>
      <c r="K88" s="4">
        <v>70.19</v>
      </c>
      <c r="M88" s="4">
        <v>405.84972999999997</v>
      </c>
      <c r="N88" s="4">
        <v>369.13898</v>
      </c>
      <c r="O88" s="4">
        <v>376.43251000000004</v>
      </c>
      <c r="Q88" s="29">
        <v>6473.37</v>
      </c>
      <c r="R88" s="29">
        <v>5040.29</v>
      </c>
      <c r="S88" s="29">
        <v>5325.01</v>
      </c>
    </row>
    <row r="89" spans="1:19" x14ac:dyDescent="0.2">
      <c r="A89" s="38">
        <v>69</v>
      </c>
      <c r="B89" s="2" t="s">
        <v>87</v>
      </c>
      <c r="C89" s="3">
        <v>22</v>
      </c>
      <c r="D89" s="3">
        <v>4</v>
      </c>
      <c r="E89" s="3">
        <v>116</v>
      </c>
      <c r="F89" s="31">
        <f t="shared" si="3"/>
        <v>142</v>
      </c>
      <c r="H89" s="4">
        <v>75.45</v>
      </c>
      <c r="I89" s="4">
        <v>69.5</v>
      </c>
      <c r="J89" s="4">
        <v>101.69</v>
      </c>
      <c r="K89" s="4">
        <v>96.74</v>
      </c>
      <c r="M89" s="4">
        <v>450.85</v>
      </c>
      <c r="N89" s="4">
        <v>662.22784000000001</v>
      </c>
      <c r="O89" s="4">
        <v>625.78337999999997</v>
      </c>
      <c r="Q89" s="29">
        <v>5997.18</v>
      </c>
      <c r="R89" s="29">
        <v>6299.78</v>
      </c>
      <c r="S89" s="29">
        <v>6247.61</v>
      </c>
    </row>
    <row r="90" spans="1:19" x14ac:dyDescent="0.2">
      <c r="A90" s="38">
        <v>70</v>
      </c>
      <c r="B90" s="2" t="s">
        <v>88</v>
      </c>
      <c r="C90" s="3">
        <v>20</v>
      </c>
      <c r="D90" s="3">
        <v>1</v>
      </c>
      <c r="E90" s="3">
        <v>238</v>
      </c>
      <c r="F90" s="31">
        <f t="shared" si="3"/>
        <v>259</v>
      </c>
      <c r="H90" s="4">
        <v>106.21</v>
      </c>
      <c r="I90" s="4">
        <v>76</v>
      </c>
      <c r="J90" s="4">
        <v>60.02</v>
      </c>
      <c r="K90" s="4">
        <v>63.89</v>
      </c>
      <c r="M90" s="4">
        <v>687.64102000000003</v>
      </c>
      <c r="N90" s="4">
        <v>157.12364000000002</v>
      </c>
      <c r="O90" s="4">
        <v>206.05485000000002</v>
      </c>
      <c r="Q90" s="29">
        <v>4362.05</v>
      </c>
      <c r="R90" s="29">
        <v>2365.19</v>
      </c>
      <c r="S90" s="29">
        <v>2549.37</v>
      </c>
    </row>
    <row r="91" spans="1:19" x14ac:dyDescent="0.2">
      <c r="A91" s="38">
        <v>71</v>
      </c>
      <c r="B91" s="2" t="s">
        <v>89</v>
      </c>
      <c r="C91" s="3">
        <v>24</v>
      </c>
      <c r="D91" s="3">
        <v>13</v>
      </c>
      <c r="E91" s="3">
        <v>123</v>
      </c>
      <c r="F91" s="31">
        <f t="shared" si="3"/>
        <v>160</v>
      </c>
      <c r="H91" s="4">
        <v>74.33</v>
      </c>
      <c r="I91" s="4">
        <v>68.180000000000007</v>
      </c>
      <c r="J91" s="4">
        <v>81.55</v>
      </c>
      <c r="K91" s="4">
        <v>79.400000000000006</v>
      </c>
      <c r="M91" s="4">
        <v>301.54096000000004</v>
      </c>
      <c r="N91" s="4">
        <v>408.26304999999996</v>
      </c>
      <c r="O91" s="4">
        <v>386.37134000000003</v>
      </c>
      <c r="Q91" s="29">
        <v>3816.67</v>
      </c>
      <c r="R91" s="29">
        <v>4731.16</v>
      </c>
      <c r="S91" s="29">
        <v>4543.57</v>
      </c>
    </row>
    <row r="92" spans="1:19" x14ac:dyDescent="0.2">
      <c r="A92" s="38">
        <v>72</v>
      </c>
      <c r="B92" s="2" t="s">
        <v>90</v>
      </c>
      <c r="C92" s="3">
        <v>1</v>
      </c>
      <c r="D92" s="3">
        <v>0</v>
      </c>
      <c r="E92" s="3">
        <v>193</v>
      </c>
      <c r="F92" s="31">
        <f t="shared" si="3"/>
        <v>194</v>
      </c>
      <c r="H92" s="4">
        <v>42</v>
      </c>
      <c r="I92" s="4">
        <v>0</v>
      </c>
      <c r="J92" s="4">
        <v>71.239999999999995</v>
      </c>
      <c r="K92" s="4">
        <v>71.08</v>
      </c>
      <c r="M92" s="4">
        <v>0</v>
      </c>
      <c r="N92" s="4">
        <v>220.08672000000001</v>
      </c>
      <c r="O92" s="4">
        <v>219.21889999999999</v>
      </c>
      <c r="Q92" s="29">
        <v>0</v>
      </c>
      <c r="R92" s="29">
        <v>3137.63</v>
      </c>
      <c r="S92" s="29">
        <v>3145</v>
      </c>
    </row>
    <row r="93" spans="1:19" x14ac:dyDescent="0.2">
      <c r="A93" s="38">
        <v>73</v>
      </c>
      <c r="B93" s="26" t="s">
        <v>91</v>
      </c>
      <c r="C93" s="25">
        <v>4</v>
      </c>
      <c r="D93" s="25">
        <v>1</v>
      </c>
      <c r="E93" s="25">
        <v>211</v>
      </c>
      <c r="F93" s="30">
        <f t="shared" si="3"/>
        <v>216</v>
      </c>
      <c r="G93" s="26"/>
      <c r="H93" s="27">
        <v>63.5</v>
      </c>
      <c r="I93" s="27">
        <v>85</v>
      </c>
      <c r="J93" s="27">
        <v>70.19</v>
      </c>
      <c r="K93" s="27">
        <v>70.13</v>
      </c>
      <c r="L93" s="27"/>
      <c r="M93" s="27">
        <v>203.125</v>
      </c>
      <c r="N93" s="27">
        <v>167.41298999999998</v>
      </c>
      <c r="O93" s="27">
        <v>168.71160999999998</v>
      </c>
      <c r="P93" s="27"/>
      <c r="Q93" s="35">
        <v>3214.75</v>
      </c>
      <c r="R93" s="35">
        <v>2428.9299999999998</v>
      </c>
      <c r="S93" s="35">
        <v>2457.5100000000002</v>
      </c>
    </row>
    <row r="95" spans="1:19" x14ac:dyDescent="0.2">
      <c r="B95" s="39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5"/>
  <sheetViews>
    <sheetView workbookViewId="0"/>
  </sheetViews>
  <sheetFormatPr defaultColWidth="11.42578125" defaultRowHeight="12" x14ac:dyDescent="0.2"/>
  <cols>
    <col min="1" max="1" width="4.85546875" style="2" customWidth="1"/>
    <col min="2" max="2" width="35.7109375" style="2" customWidth="1"/>
    <col min="3" max="6" width="10.7109375" style="3" customWidth="1"/>
    <col min="7" max="7" width="2.7109375" style="2" customWidth="1"/>
    <col min="8" max="11" width="10.7109375" style="4" customWidth="1"/>
    <col min="12" max="12" width="2.7109375" style="4" customWidth="1"/>
    <col min="13" max="15" width="10.7109375" style="4" customWidth="1"/>
    <col min="16" max="16" width="2.7109375" style="4" customWidth="1"/>
    <col min="17" max="19" width="10.7109375" style="4" customWidth="1"/>
    <col min="20" max="16384" width="11.42578125" style="2"/>
  </cols>
  <sheetData>
    <row r="1" spans="1:19" ht="15" x14ac:dyDescent="0.25">
      <c r="A1" s="1" t="s">
        <v>0</v>
      </c>
    </row>
    <row r="2" spans="1:19" ht="12.75" x14ac:dyDescent="0.2">
      <c r="A2" s="5" t="s">
        <v>98</v>
      </c>
    </row>
    <row r="3" spans="1:19" x14ac:dyDescent="0.2">
      <c r="A3" s="2" t="s">
        <v>97</v>
      </c>
    </row>
    <row r="4" spans="1:19" ht="13.5" x14ac:dyDescent="0.2">
      <c r="C4" s="6" t="s">
        <v>1</v>
      </c>
      <c r="D4" s="7"/>
      <c r="E4" s="7"/>
      <c r="F4" s="7"/>
      <c r="H4" s="8" t="s">
        <v>96</v>
      </c>
      <c r="I4" s="9"/>
      <c r="J4" s="9"/>
      <c r="K4" s="9"/>
      <c r="M4" s="8" t="s">
        <v>92</v>
      </c>
      <c r="N4" s="8"/>
      <c r="O4" s="8"/>
      <c r="Q4" s="8" t="s">
        <v>93</v>
      </c>
      <c r="R4" s="8"/>
      <c r="S4" s="8"/>
    </row>
    <row r="5" spans="1:19" s="15" customFormat="1" ht="24" x14ac:dyDescent="0.2">
      <c r="A5" s="10" t="s">
        <v>2</v>
      </c>
      <c r="B5" s="10"/>
      <c r="C5" s="11" t="s">
        <v>3</v>
      </c>
      <c r="D5" s="11" t="s">
        <v>4</v>
      </c>
      <c r="E5" s="11" t="s">
        <v>5</v>
      </c>
      <c r="F5" s="11" t="s">
        <v>6</v>
      </c>
      <c r="G5" s="12"/>
      <c r="H5" s="13" t="s">
        <v>3</v>
      </c>
      <c r="I5" s="13" t="s">
        <v>4</v>
      </c>
      <c r="J5" s="13" t="s">
        <v>5</v>
      </c>
      <c r="K5" s="13" t="s">
        <v>6</v>
      </c>
      <c r="L5" s="14"/>
      <c r="M5" s="13" t="s">
        <v>7</v>
      </c>
      <c r="N5" s="13" t="s">
        <v>5</v>
      </c>
      <c r="O5" s="13" t="s">
        <v>6</v>
      </c>
      <c r="P5" s="14"/>
      <c r="Q5" s="13" t="s">
        <v>7</v>
      </c>
      <c r="R5" s="13" t="s">
        <v>5</v>
      </c>
      <c r="S5" s="13" t="s">
        <v>6</v>
      </c>
    </row>
    <row r="6" spans="1:19" s="16" customFormat="1" x14ac:dyDescent="0.2">
      <c r="B6" s="17" t="s">
        <v>94</v>
      </c>
      <c r="C6" s="3">
        <v>1315</v>
      </c>
      <c r="D6" s="3">
        <v>102</v>
      </c>
      <c r="E6" s="3">
        <v>13494</v>
      </c>
      <c r="F6" s="3">
        <f t="shared" ref="F6" si="0">SUM(C6:E6)</f>
        <v>14911</v>
      </c>
      <c r="G6" s="2"/>
      <c r="H6" s="4">
        <v>85.91</v>
      </c>
      <c r="I6" s="4">
        <v>69.09</v>
      </c>
      <c r="J6" s="4">
        <v>79.099999999999994</v>
      </c>
      <c r="K6" s="4">
        <v>79.64</v>
      </c>
      <c r="L6" s="2"/>
      <c r="M6" s="4">
        <v>483.36341999999996</v>
      </c>
      <c r="N6" s="4">
        <v>366.30275</v>
      </c>
      <c r="O6" s="4">
        <v>379.10178999999999</v>
      </c>
      <c r="P6" s="4"/>
      <c r="Q6" s="29">
        <v>5327.11</v>
      </c>
      <c r="R6" s="29">
        <v>4306.6099999999997</v>
      </c>
      <c r="S6" s="29">
        <v>4418.1899999999996</v>
      </c>
    </row>
    <row r="7" spans="1:19" s="16" customFormat="1" x14ac:dyDescent="0.2">
      <c r="B7" s="18"/>
      <c r="C7" s="31"/>
      <c r="D7" s="31"/>
      <c r="E7" s="31"/>
      <c r="F7" s="31"/>
      <c r="G7" s="15"/>
      <c r="H7" s="32"/>
      <c r="I7" s="32"/>
      <c r="J7" s="32"/>
      <c r="K7" s="32"/>
      <c r="L7" s="33"/>
      <c r="M7" s="32"/>
      <c r="N7" s="32"/>
      <c r="O7" s="32"/>
      <c r="P7" s="33"/>
      <c r="Q7" s="34"/>
      <c r="R7" s="34"/>
      <c r="S7" s="34"/>
    </row>
    <row r="8" spans="1:19" s="16" customFormat="1" x14ac:dyDescent="0.2">
      <c r="B8" s="19" t="s">
        <v>8</v>
      </c>
      <c r="C8" s="31"/>
      <c r="D8" s="31"/>
      <c r="E8" s="31"/>
      <c r="F8" s="31"/>
      <c r="G8" s="15"/>
      <c r="H8" s="32"/>
      <c r="I8" s="32"/>
      <c r="J8" s="32"/>
      <c r="K8" s="32"/>
      <c r="L8" s="33"/>
      <c r="M8" s="32"/>
      <c r="N8" s="32"/>
      <c r="O8" s="32"/>
      <c r="P8" s="33"/>
      <c r="Q8" s="34"/>
      <c r="R8" s="34"/>
      <c r="S8" s="34"/>
    </row>
    <row r="9" spans="1:19" s="16" customFormat="1" x14ac:dyDescent="0.2">
      <c r="A9" s="20">
        <v>1</v>
      </c>
      <c r="B9" s="18" t="s">
        <v>9</v>
      </c>
      <c r="C9" s="31">
        <v>94</v>
      </c>
      <c r="D9" s="31">
        <v>8</v>
      </c>
      <c r="E9" s="31">
        <v>1246</v>
      </c>
      <c r="F9" s="31">
        <f t="shared" ref="F9:F18" si="1">SUM(C9:E9)</f>
        <v>1348</v>
      </c>
      <c r="G9" s="15"/>
      <c r="H9" s="32">
        <v>55.01</v>
      </c>
      <c r="I9" s="32">
        <v>72.12</v>
      </c>
      <c r="J9" s="32">
        <v>67.41</v>
      </c>
      <c r="K9" s="32">
        <v>66.61</v>
      </c>
      <c r="L9" s="33"/>
      <c r="M9" s="32">
        <v>283.35773999999998</v>
      </c>
      <c r="N9" s="32">
        <v>278.82915000000003</v>
      </c>
      <c r="O9" s="32">
        <v>279.13130999999998</v>
      </c>
      <c r="P9" s="33"/>
      <c r="Q9" s="34">
        <v>5196.05</v>
      </c>
      <c r="R9" s="34">
        <v>4118.8999999999996</v>
      </c>
      <c r="S9" s="34">
        <v>4190.78</v>
      </c>
    </row>
    <row r="10" spans="1:19" s="16" customFormat="1" x14ac:dyDescent="0.2">
      <c r="A10" s="20">
        <v>2</v>
      </c>
      <c r="B10" s="18" t="s">
        <v>10</v>
      </c>
      <c r="C10" s="31">
        <v>262</v>
      </c>
      <c r="D10" s="31">
        <v>19</v>
      </c>
      <c r="E10" s="31">
        <v>2317</v>
      </c>
      <c r="F10" s="31">
        <f t="shared" si="1"/>
        <v>2598</v>
      </c>
      <c r="G10" s="15"/>
      <c r="H10" s="32">
        <v>101.61</v>
      </c>
      <c r="I10" s="32">
        <v>85.27</v>
      </c>
      <c r="J10" s="32">
        <v>89.99</v>
      </c>
      <c r="K10" s="32">
        <v>91.15</v>
      </c>
      <c r="L10" s="33"/>
      <c r="M10" s="32">
        <v>688.08968999999991</v>
      </c>
      <c r="N10" s="32">
        <v>450.81726000000003</v>
      </c>
      <c r="O10" s="32">
        <v>475.71953999999999</v>
      </c>
      <c r="P10" s="33"/>
      <c r="Q10" s="34">
        <v>6600.36</v>
      </c>
      <c r="R10" s="34">
        <v>4973.01</v>
      </c>
      <c r="S10" s="34">
        <v>5143.8100000000004</v>
      </c>
    </row>
    <row r="11" spans="1:19" s="16" customFormat="1" x14ac:dyDescent="0.2">
      <c r="A11" s="20">
        <v>3</v>
      </c>
      <c r="B11" s="18" t="s">
        <v>11</v>
      </c>
      <c r="C11" s="31">
        <v>171</v>
      </c>
      <c r="D11" s="31">
        <v>1</v>
      </c>
      <c r="E11" s="31">
        <v>1565</v>
      </c>
      <c r="F11" s="31">
        <f t="shared" si="1"/>
        <v>1737</v>
      </c>
      <c r="G11" s="15"/>
      <c r="H11" s="32">
        <v>77.72</v>
      </c>
      <c r="I11" s="32">
        <v>48</v>
      </c>
      <c r="J11" s="32">
        <v>68.58</v>
      </c>
      <c r="K11" s="32">
        <v>69.47</v>
      </c>
      <c r="L11" s="33"/>
      <c r="M11" s="32">
        <v>287.13989000000004</v>
      </c>
      <c r="N11" s="32">
        <v>255.84096</v>
      </c>
      <c r="O11" s="32">
        <v>260.17738000000003</v>
      </c>
      <c r="P11" s="33"/>
      <c r="Q11" s="34">
        <v>3826.17</v>
      </c>
      <c r="R11" s="34">
        <v>3781.82</v>
      </c>
      <c r="S11" s="34">
        <v>3787.96</v>
      </c>
    </row>
    <row r="12" spans="1:19" s="16" customFormat="1" x14ac:dyDescent="0.2">
      <c r="A12" s="20">
        <v>4</v>
      </c>
      <c r="B12" s="18" t="s">
        <v>12</v>
      </c>
      <c r="C12" s="31">
        <v>10</v>
      </c>
      <c r="D12" s="31">
        <v>1</v>
      </c>
      <c r="E12" s="31">
        <v>601</v>
      </c>
      <c r="F12" s="31">
        <f t="shared" si="1"/>
        <v>612</v>
      </c>
      <c r="G12" s="15"/>
      <c r="H12" s="32">
        <v>93</v>
      </c>
      <c r="I12" s="32">
        <v>0</v>
      </c>
      <c r="J12" s="32">
        <v>96.9</v>
      </c>
      <c r="K12" s="32">
        <v>96.83</v>
      </c>
      <c r="L12" s="33"/>
      <c r="M12" s="32">
        <v>610.19443999999999</v>
      </c>
      <c r="N12" s="32">
        <v>549.12252999999998</v>
      </c>
      <c r="O12" s="32">
        <v>550.44697999999994</v>
      </c>
      <c r="P12" s="33"/>
      <c r="Q12" s="34">
        <v>6721.21</v>
      </c>
      <c r="R12" s="34">
        <v>5148.67</v>
      </c>
      <c r="S12" s="34">
        <v>5182.7700000000004</v>
      </c>
    </row>
    <row r="13" spans="1:19" s="16" customFormat="1" x14ac:dyDescent="0.2">
      <c r="A13" s="20">
        <v>5</v>
      </c>
      <c r="B13" s="18" t="s">
        <v>13</v>
      </c>
      <c r="C13" s="31">
        <v>158</v>
      </c>
      <c r="D13" s="31">
        <v>1</v>
      </c>
      <c r="E13" s="31">
        <v>974</v>
      </c>
      <c r="F13" s="31">
        <f t="shared" si="1"/>
        <v>1133</v>
      </c>
      <c r="G13" s="15"/>
      <c r="H13" s="32">
        <v>118.25</v>
      </c>
      <c r="I13" s="32">
        <v>72</v>
      </c>
      <c r="J13" s="32">
        <v>130.51</v>
      </c>
      <c r="K13" s="32">
        <v>128.72</v>
      </c>
      <c r="L13" s="33"/>
      <c r="M13" s="32">
        <v>828.17340999999999</v>
      </c>
      <c r="N13" s="32">
        <v>757.28271999999993</v>
      </c>
      <c r="O13" s="32">
        <v>767.56403</v>
      </c>
      <c r="P13" s="33"/>
      <c r="Q13" s="34">
        <v>7252.6</v>
      </c>
      <c r="R13" s="34">
        <v>5879.15</v>
      </c>
      <c r="S13" s="34">
        <v>6078.34</v>
      </c>
    </row>
    <row r="14" spans="1:19" s="16" customFormat="1" x14ac:dyDescent="0.2">
      <c r="A14" s="20">
        <v>6</v>
      </c>
      <c r="B14" s="18" t="s">
        <v>14</v>
      </c>
      <c r="C14" s="31">
        <v>94</v>
      </c>
      <c r="D14" s="31">
        <v>1</v>
      </c>
      <c r="E14" s="31">
        <v>1047</v>
      </c>
      <c r="F14" s="31">
        <f t="shared" si="1"/>
        <v>1142</v>
      </c>
      <c r="G14" s="15"/>
      <c r="H14" s="32">
        <v>87.37</v>
      </c>
      <c r="I14" s="32">
        <v>0</v>
      </c>
      <c r="J14" s="32">
        <v>78.17</v>
      </c>
      <c r="K14" s="32">
        <v>78.92</v>
      </c>
      <c r="L14" s="33"/>
      <c r="M14" s="32">
        <v>588.51218999999992</v>
      </c>
      <c r="N14" s="32">
        <v>354.05941999999999</v>
      </c>
      <c r="O14" s="32">
        <v>373.50071000000003</v>
      </c>
      <c r="P14" s="33"/>
      <c r="Q14" s="34">
        <v>5513.48</v>
      </c>
      <c r="R14" s="34">
        <v>4628.55</v>
      </c>
      <c r="S14" s="34">
        <v>4701.93</v>
      </c>
    </row>
    <row r="15" spans="1:19" s="16" customFormat="1" x14ac:dyDescent="0.2">
      <c r="A15" s="20">
        <v>7</v>
      </c>
      <c r="B15" s="18" t="s">
        <v>15</v>
      </c>
      <c r="C15" s="31">
        <v>218</v>
      </c>
      <c r="D15" s="31">
        <v>11</v>
      </c>
      <c r="E15" s="31">
        <v>1221</v>
      </c>
      <c r="F15" s="31">
        <f t="shared" si="1"/>
        <v>1450</v>
      </c>
      <c r="G15" s="15"/>
      <c r="H15" s="32">
        <v>74.02</v>
      </c>
      <c r="I15" s="32">
        <v>67.73</v>
      </c>
      <c r="J15" s="32">
        <v>69.22</v>
      </c>
      <c r="K15" s="32">
        <v>69.959999999999994</v>
      </c>
      <c r="L15" s="33"/>
      <c r="M15" s="32">
        <v>267.52577000000002</v>
      </c>
      <c r="N15" s="32">
        <v>228.56489000000002</v>
      </c>
      <c r="O15" s="32">
        <v>235.01558</v>
      </c>
      <c r="P15" s="33"/>
      <c r="Q15" s="34">
        <v>3648.82</v>
      </c>
      <c r="R15" s="34">
        <v>3333.1</v>
      </c>
      <c r="S15" s="34">
        <v>3385.37</v>
      </c>
    </row>
    <row r="16" spans="1:19" s="16" customFormat="1" x14ac:dyDescent="0.2">
      <c r="A16" s="20">
        <v>8</v>
      </c>
      <c r="B16" s="18" t="s">
        <v>16</v>
      </c>
      <c r="C16" s="31">
        <v>13</v>
      </c>
      <c r="D16" s="31">
        <v>1</v>
      </c>
      <c r="E16" s="31">
        <v>1463</v>
      </c>
      <c r="F16" s="31">
        <f t="shared" si="1"/>
        <v>1477</v>
      </c>
      <c r="G16" s="15"/>
      <c r="H16" s="32">
        <v>80.09</v>
      </c>
      <c r="I16" s="32">
        <v>74</v>
      </c>
      <c r="J16" s="32">
        <v>63.7</v>
      </c>
      <c r="K16" s="32">
        <v>63.84</v>
      </c>
      <c r="L16" s="33"/>
      <c r="M16" s="32">
        <v>192.71826999999999</v>
      </c>
      <c r="N16" s="32">
        <v>185.20604</v>
      </c>
      <c r="O16" s="32">
        <v>185.36284000000001</v>
      </c>
      <c r="P16" s="33"/>
      <c r="Q16" s="34">
        <v>2680.4</v>
      </c>
      <c r="R16" s="34">
        <v>2710.48</v>
      </c>
      <c r="S16" s="34">
        <v>2709.85</v>
      </c>
    </row>
    <row r="17" spans="1:19" s="16" customFormat="1" x14ac:dyDescent="0.2">
      <c r="A17" s="20">
        <v>9</v>
      </c>
      <c r="B17" s="18" t="s">
        <v>17</v>
      </c>
      <c r="C17" s="31">
        <v>50</v>
      </c>
      <c r="D17" s="31">
        <v>10</v>
      </c>
      <c r="E17" s="31">
        <v>1146</v>
      </c>
      <c r="F17" s="31">
        <f t="shared" si="1"/>
        <v>1206</v>
      </c>
      <c r="G17" s="15"/>
      <c r="H17" s="32">
        <v>82.15</v>
      </c>
      <c r="I17" s="32">
        <v>78.5</v>
      </c>
      <c r="J17" s="32">
        <v>71</v>
      </c>
      <c r="K17" s="32">
        <v>71.540000000000006</v>
      </c>
      <c r="L17" s="33"/>
      <c r="M17" s="32">
        <v>317.02075000000002</v>
      </c>
      <c r="N17" s="32">
        <v>257.11444</v>
      </c>
      <c r="O17" s="32">
        <v>262.45491999999996</v>
      </c>
      <c r="P17" s="33"/>
      <c r="Q17" s="34">
        <v>3864</v>
      </c>
      <c r="R17" s="34">
        <v>3448.53</v>
      </c>
      <c r="S17" s="34">
        <v>3485.57</v>
      </c>
    </row>
    <row r="18" spans="1:19" s="16" customFormat="1" x14ac:dyDescent="0.2">
      <c r="A18" s="20">
        <v>10</v>
      </c>
      <c r="B18" s="18" t="s">
        <v>18</v>
      </c>
      <c r="C18" s="31">
        <v>213</v>
      </c>
      <c r="D18" s="31">
        <v>49</v>
      </c>
      <c r="E18" s="31">
        <v>1825</v>
      </c>
      <c r="F18" s="31">
        <f t="shared" si="1"/>
        <v>2087</v>
      </c>
      <c r="G18" s="15"/>
      <c r="H18" s="32">
        <v>75.78</v>
      </c>
      <c r="I18" s="32">
        <v>63.13</v>
      </c>
      <c r="J18" s="32">
        <v>73.37</v>
      </c>
      <c r="K18" s="32">
        <v>73.39</v>
      </c>
      <c r="L18" s="33"/>
      <c r="M18" s="32">
        <v>444.58204999999998</v>
      </c>
      <c r="N18" s="32">
        <v>308.13632000000001</v>
      </c>
      <c r="O18" s="32">
        <v>326.76711</v>
      </c>
      <c r="P18" s="33"/>
      <c r="Q18" s="34">
        <v>5628.05</v>
      </c>
      <c r="R18" s="34">
        <v>4034.61</v>
      </c>
      <c r="S18" s="34">
        <v>4252.18</v>
      </c>
    </row>
    <row r="19" spans="1:19" s="16" customFormat="1" x14ac:dyDescent="0.2">
      <c r="A19" s="20"/>
      <c r="B19" s="18"/>
      <c r="C19" s="31"/>
      <c r="D19" s="31"/>
      <c r="E19" s="31"/>
      <c r="F19" s="31"/>
      <c r="G19" s="15"/>
      <c r="H19" s="32"/>
      <c r="I19" s="32"/>
      <c r="J19" s="32"/>
      <c r="K19" s="32"/>
      <c r="L19" s="33"/>
      <c r="M19" s="32"/>
      <c r="N19" s="32"/>
      <c r="O19" s="32"/>
      <c r="P19" s="33"/>
      <c r="Q19" s="34"/>
      <c r="R19" s="34"/>
      <c r="S19" s="34"/>
    </row>
    <row r="20" spans="1:19" s="16" customFormat="1" x14ac:dyDescent="0.2">
      <c r="A20" s="20"/>
      <c r="B20" s="19" t="s">
        <v>19</v>
      </c>
      <c r="C20" s="31"/>
      <c r="D20" s="31"/>
      <c r="E20" s="31"/>
      <c r="F20" s="31"/>
      <c r="G20" s="15"/>
      <c r="H20" s="32"/>
      <c r="I20" s="32"/>
      <c r="J20" s="32"/>
      <c r="K20" s="32"/>
      <c r="L20" s="33"/>
      <c r="M20" s="32"/>
      <c r="N20" s="32"/>
      <c r="O20" s="32"/>
      <c r="P20" s="33"/>
      <c r="Q20" s="34"/>
      <c r="R20" s="34"/>
      <c r="S20" s="34"/>
    </row>
    <row r="21" spans="1:19" x14ac:dyDescent="0.2">
      <c r="A21" s="20">
        <v>1</v>
      </c>
      <c r="B21" s="21" t="s">
        <v>20</v>
      </c>
      <c r="C21" s="3">
        <v>13</v>
      </c>
      <c r="D21" s="3">
        <v>7</v>
      </c>
      <c r="E21" s="3">
        <v>493</v>
      </c>
      <c r="F21" s="31">
        <f t="shared" ref="F21:F84" si="2">SUM(C21:E21)</f>
        <v>513</v>
      </c>
      <c r="H21" s="4">
        <v>66.75</v>
      </c>
      <c r="I21" s="4">
        <v>71.569999999999993</v>
      </c>
      <c r="J21" s="4">
        <v>62.92</v>
      </c>
      <c r="K21" s="4">
        <v>63.16</v>
      </c>
      <c r="M21" s="4">
        <v>426.74772999999999</v>
      </c>
      <c r="N21" s="4">
        <v>206.30160999999998</v>
      </c>
      <c r="O21" s="4">
        <v>211.87610999999998</v>
      </c>
      <c r="Q21" s="29">
        <v>6491.78</v>
      </c>
      <c r="R21" s="29">
        <v>3268.65</v>
      </c>
      <c r="S21" s="29">
        <v>3350.15</v>
      </c>
    </row>
    <row r="22" spans="1:19" x14ac:dyDescent="0.2">
      <c r="A22" s="20">
        <v>2</v>
      </c>
      <c r="B22" s="21" t="s">
        <v>21</v>
      </c>
      <c r="C22" s="3">
        <v>33</v>
      </c>
      <c r="D22" s="3">
        <v>0</v>
      </c>
      <c r="E22" s="3">
        <v>215</v>
      </c>
      <c r="F22" s="31">
        <f t="shared" si="2"/>
        <v>248</v>
      </c>
      <c r="H22" s="4">
        <v>75.45</v>
      </c>
      <c r="I22" s="4">
        <v>0</v>
      </c>
      <c r="J22" s="4">
        <v>87.27</v>
      </c>
      <c r="K22" s="4">
        <v>86.06</v>
      </c>
      <c r="M22" s="4">
        <v>390.14186000000001</v>
      </c>
      <c r="N22" s="4">
        <v>432.15409999999997</v>
      </c>
      <c r="O22" s="4">
        <v>427.83508</v>
      </c>
      <c r="Q22" s="29">
        <v>5215.87</v>
      </c>
      <c r="R22" s="29">
        <v>4590.97</v>
      </c>
      <c r="S22" s="29">
        <v>4655.21</v>
      </c>
    </row>
    <row r="23" spans="1:19" x14ac:dyDescent="0.2">
      <c r="A23" s="20">
        <v>3</v>
      </c>
      <c r="B23" s="21" t="s">
        <v>22</v>
      </c>
      <c r="C23" s="3">
        <v>36</v>
      </c>
      <c r="D23" s="3">
        <v>1</v>
      </c>
      <c r="E23" s="3">
        <v>202</v>
      </c>
      <c r="F23" s="31">
        <f t="shared" si="2"/>
        <v>239</v>
      </c>
      <c r="H23" s="4">
        <v>37.770000000000003</v>
      </c>
      <c r="I23" s="4">
        <v>76</v>
      </c>
      <c r="J23" s="4">
        <v>46.72</v>
      </c>
      <c r="K23" s="4">
        <v>45.39</v>
      </c>
      <c r="M23" s="4">
        <v>170.52</v>
      </c>
      <c r="N23" s="4">
        <v>224.5573</v>
      </c>
      <c r="O23" s="4">
        <v>215.46448999999998</v>
      </c>
      <c r="Q23" s="29">
        <v>4702.53</v>
      </c>
      <c r="R23" s="29">
        <v>5063.32</v>
      </c>
      <c r="S23" s="29">
        <v>5002.6099999999997</v>
      </c>
    </row>
    <row r="24" spans="1:19" x14ac:dyDescent="0.2">
      <c r="A24" s="20">
        <v>4</v>
      </c>
      <c r="B24" s="21" t="s">
        <v>23</v>
      </c>
      <c r="C24" s="3">
        <v>12</v>
      </c>
      <c r="D24" s="3">
        <v>0</v>
      </c>
      <c r="E24" s="3">
        <v>336</v>
      </c>
      <c r="F24" s="31">
        <f t="shared" si="2"/>
        <v>348</v>
      </c>
      <c r="H24" s="4">
        <v>56.3</v>
      </c>
      <c r="I24" s="4">
        <v>0</v>
      </c>
      <c r="J24" s="4">
        <v>73.56</v>
      </c>
      <c r="K24" s="4">
        <v>72.98</v>
      </c>
      <c r="M24" s="4">
        <v>285.88889</v>
      </c>
      <c r="N24" s="4">
        <v>315.98996</v>
      </c>
      <c r="O24" s="4">
        <v>315.07781</v>
      </c>
      <c r="Q24" s="29">
        <v>5483.21</v>
      </c>
      <c r="R24" s="29">
        <v>4488.6499999999996</v>
      </c>
      <c r="S24" s="29">
        <v>4518.79</v>
      </c>
    </row>
    <row r="25" spans="1:19" x14ac:dyDescent="0.2">
      <c r="A25" s="20">
        <v>5</v>
      </c>
      <c r="B25" s="21" t="s">
        <v>24</v>
      </c>
      <c r="C25" s="3">
        <v>4</v>
      </c>
      <c r="D25" s="3">
        <v>1</v>
      </c>
      <c r="E25" s="3">
        <v>229</v>
      </c>
      <c r="F25" s="31">
        <f t="shared" si="2"/>
        <v>234</v>
      </c>
      <c r="H25" s="4">
        <v>82.67</v>
      </c>
      <c r="I25" s="4">
        <v>0</v>
      </c>
      <c r="J25" s="4">
        <v>82.6</v>
      </c>
      <c r="K25" s="4">
        <v>82.6</v>
      </c>
      <c r="M25" s="4">
        <v>369</v>
      </c>
      <c r="N25" s="4">
        <v>367.37824999999998</v>
      </c>
      <c r="O25" s="4">
        <v>367.40197999999998</v>
      </c>
      <c r="Q25" s="29">
        <v>4785.91</v>
      </c>
      <c r="R25" s="29">
        <v>4483.8900000000003</v>
      </c>
      <c r="S25" s="29">
        <v>4488.3100000000004</v>
      </c>
    </row>
    <row r="26" spans="1:19" x14ac:dyDescent="0.2">
      <c r="A26" s="20">
        <v>6</v>
      </c>
      <c r="B26" s="21" t="s">
        <v>25</v>
      </c>
      <c r="C26" s="3">
        <v>11</v>
      </c>
      <c r="D26" s="3">
        <v>0</v>
      </c>
      <c r="E26" s="3">
        <v>459</v>
      </c>
      <c r="F26" s="31">
        <f t="shared" si="2"/>
        <v>470</v>
      </c>
      <c r="H26" s="4">
        <v>67</v>
      </c>
      <c r="I26" s="4">
        <v>0</v>
      </c>
      <c r="J26" s="4">
        <v>72.819999999999993</v>
      </c>
      <c r="K26" s="4">
        <v>72.680000000000007</v>
      </c>
      <c r="M26" s="4">
        <v>324.56299999999999</v>
      </c>
      <c r="N26" s="4">
        <v>322.91534000000001</v>
      </c>
      <c r="O26" s="4">
        <v>322.95562999999999</v>
      </c>
      <c r="Q26" s="29">
        <v>4861.5200000000004</v>
      </c>
      <c r="R26" s="29">
        <v>4549.79</v>
      </c>
      <c r="S26" s="29">
        <v>4557.41</v>
      </c>
    </row>
    <row r="27" spans="1:19" x14ac:dyDescent="0.2">
      <c r="A27" s="20">
        <v>7</v>
      </c>
      <c r="B27" s="21" t="s">
        <v>26</v>
      </c>
      <c r="C27" s="3">
        <v>94</v>
      </c>
      <c r="D27" s="3">
        <v>0</v>
      </c>
      <c r="E27" s="3">
        <v>468</v>
      </c>
      <c r="F27" s="31">
        <f t="shared" si="2"/>
        <v>562</v>
      </c>
      <c r="H27" s="4">
        <v>115.81</v>
      </c>
      <c r="I27" s="4">
        <v>0</v>
      </c>
      <c r="J27" s="4">
        <v>117.09</v>
      </c>
      <c r="K27" s="4">
        <v>116.88</v>
      </c>
      <c r="M27" s="4">
        <v>969.94505000000004</v>
      </c>
      <c r="N27" s="4">
        <v>698.17208999999991</v>
      </c>
      <c r="O27" s="4">
        <v>743.92696999999998</v>
      </c>
      <c r="Q27" s="29">
        <v>8371.2800000000007</v>
      </c>
      <c r="R27" s="29">
        <v>5901.32</v>
      </c>
      <c r="S27" s="29">
        <v>6317.16</v>
      </c>
    </row>
    <row r="28" spans="1:19" x14ac:dyDescent="0.2">
      <c r="A28" s="20">
        <v>8</v>
      </c>
      <c r="B28" s="21" t="s">
        <v>27</v>
      </c>
      <c r="C28" s="3">
        <v>50</v>
      </c>
      <c r="D28" s="3">
        <v>1</v>
      </c>
      <c r="E28" s="3">
        <v>421</v>
      </c>
      <c r="F28" s="31">
        <f t="shared" si="2"/>
        <v>472</v>
      </c>
      <c r="H28" s="4">
        <v>106.72</v>
      </c>
      <c r="I28" s="4">
        <v>52</v>
      </c>
      <c r="J28" s="4">
        <v>96.55</v>
      </c>
      <c r="K28" s="4">
        <v>97.54</v>
      </c>
      <c r="M28" s="4">
        <v>893.95921999999996</v>
      </c>
      <c r="N28" s="4">
        <v>501.06696999999997</v>
      </c>
      <c r="O28" s="4">
        <v>543.06257999999991</v>
      </c>
      <c r="Q28" s="29">
        <v>8210.6299999999992</v>
      </c>
      <c r="R28" s="29">
        <v>5322.47</v>
      </c>
      <c r="S28" s="29">
        <v>5631.18</v>
      </c>
    </row>
    <row r="29" spans="1:19" x14ac:dyDescent="0.2">
      <c r="A29" s="20">
        <v>9</v>
      </c>
      <c r="B29" s="21" t="s">
        <v>28</v>
      </c>
      <c r="C29" s="3">
        <v>90</v>
      </c>
      <c r="D29" s="3">
        <v>15</v>
      </c>
      <c r="E29" s="3">
        <v>407</v>
      </c>
      <c r="F29" s="31">
        <f t="shared" si="2"/>
        <v>512</v>
      </c>
      <c r="H29" s="4">
        <v>80.06</v>
      </c>
      <c r="I29" s="4">
        <v>86.33</v>
      </c>
      <c r="J29" s="4">
        <v>79.599999999999994</v>
      </c>
      <c r="K29" s="4">
        <v>79.819999999999993</v>
      </c>
      <c r="M29" s="4">
        <v>369.00109000000003</v>
      </c>
      <c r="N29" s="4">
        <v>356.43971000000005</v>
      </c>
      <c r="O29" s="4">
        <v>358.89459999999997</v>
      </c>
      <c r="Q29" s="29">
        <v>4550.57</v>
      </c>
      <c r="R29" s="29">
        <v>4599.59</v>
      </c>
      <c r="S29" s="29">
        <v>4590.01</v>
      </c>
    </row>
    <row r="30" spans="1:19" x14ac:dyDescent="0.2">
      <c r="A30" s="20">
        <v>10</v>
      </c>
      <c r="B30" s="21" t="s">
        <v>29</v>
      </c>
      <c r="C30" s="3">
        <v>13</v>
      </c>
      <c r="D30" s="3">
        <v>2</v>
      </c>
      <c r="E30" s="3">
        <v>333</v>
      </c>
      <c r="F30" s="31">
        <f t="shared" si="2"/>
        <v>348</v>
      </c>
      <c r="H30" s="4">
        <v>153.22999999999999</v>
      </c>
      <c r="I30" s="4">
        <v>109</v>
      </c>
      <c r="J30" s="4">
        <v>84.42</v>
      </c>
      <c r="K30" s="4">
        <v>87.51</v>
      </c>
      <c r="M30" s="4">
        <v>419.18462</v>
      </c>
      <c r="N30" s="4">
        <v>366.21519000000001</v>
      </c>
      <c r="O30" s="4">
        <v>368.68329999999997</v>
      </c>
      <c r="Q30" s="29">
        <v>3617.14</v>
      </c>
      <c r="R30" s="29">
        <v>4499.4799999999996</v>
      </c>
      <c r="S30" s="29">
        <v>4458.37</v>
      </c>
    </row>
    <row r="31" spans="1:19" x14ac:dyDescent="0.2">
      <c r="A31" s="20">
        <v>11</v>
      </c>
      <c r="B31" s="21" t="s">
        <v>30</v>
      </c>
      <c r="C31" s="3">
        <v>8</v>
      </c>
      <c r="D31" s="3">
        <v>0</v>
      </c>
      <c r="E31" s="3">
        <v>411</v>
      </c>
      <c r="F31" s="31">
        <f t="shared" si="2"/>
        <v>419</v>
      </c>
      <c r="H31" s="4">
        <v>70.400000000000006</v>
      </c>
      <c r="I31" s="4">
        <v>0</v>
      </c>
      <c r="J31" s="4">
        <v>63.71</v>
      </c>
      <c r="K31" s="4">
        <v>63.8</v>
      </c>
      <c r="M31" s="4">
        <v>288.80040000000002</v>
      </c>
      <c r="N31" s="4">
        <v>238.05070999999998</v>
      </c>
      <c r="O31" s="4">
        <v>238.81272000000001</v>
      </c>
      <c r="Q31" s="29">
        <v>4187.8999999999996</v>
      </c>
      <c r="R31" s="29">
        <v>3905.09</v>
      </c>
      <c r="S31" s="29">
        <v>3909.34</v>
      </c>
    </row>
    <row r="32" spans="1:19" x14ac:dyDescent="0.2">
      <c r="A32" s="20">
        <v>12</v>
      </c>
      <c r="B32" s="21" t="s">
        <v>31</v>
      </c>
      <c r="C32" s="3">
        <v>36</v>
      </c>
      <c r="D32" s="3">
        <v>0</v>
      </c>
      <c r="E32" s="3">
        <v>60</v>
      </c>
      <c r="F32" s="31">
        <f t="shared" si="2"/>
        <v>96</v>
      </c>
      <c r="H32" s="4">
        <v>88.75</v>
      </c>
      <c r="I32" s="4">
        <v>0</v>
      </c>
      <c r="J32" s="4">
        <v>81.260000000000005</v>
      </c>
      <c r="K32" s="4">
        <v>84.16</v>
      </c>
      <c r="M32" s="4">
        <v>289.91530999999998</v>
      </c>
      <c r="N32" s="4">
        <v>342.52346999999997</v>
      </c>
      <c r="O32" s="4">
        <v>321.71145000000001</v>
      </c>
      <c r="Q32" s="29">
        <v>3415.48</v>
      </c>
      <c r="R32" s="29">
        <v>4221.62</v>
      </c>
      <c r="S32" s="29">
        <v>3902.71</v>
      </c>
    </row>
    <row r="33" spans="1:19" x14ac:dyDescent="0.2">
      <c r="A33" s="20">
        <v>13</v>
      </c>
      <c r="B33" s="21" t="s">
        <v>32</v>
      </c>
      <c r="C33" s="3">
        <v>12</v>
      </c>
      <c r="D33" s="3">
        <v>0</v>
      </c>
      <c r="E33" s="3">
        <v>246</v>
      </c>
      <c r="F33" s="31">
        <f t="shared" si="2"/>
        <v>258</v>
      </c>
      <c r="H33" s="4">
        <v>62.42</v>
      </c>
      <c r="I33" s="4">
        <v>0</v>
      </c>
      <c r="J33" s="4">
        <v>68.72</v>
      </c>
      <c r="K33" s="4">
        <v>68.400000000000006</v>
      </c>
      <c r="M33" s="4">
        <v>208.89832999999999</v>
      </c>
      <c r="N33" s="4">
        <v>225.63629</v>
      </c>
      <c r="O33" s="4">
        <v>223.97632999999999</v>
      </c>
      <c r="Q33" s="29">
        <v>3462.13</v>
      </c>
      <c r="R33" s="29">
        <v>3418.69</v>
      </c>
      <c r="S33" s="29">
        <v>3423</v>
      </c>
    </row>
    <row r="34" spans="1:19" x14ac:dyDescent="0.2">
      <c r="A34" s="20">
        <v>14</v>
      </c>
      <c r="B34" s="21" t="s">
        <v>33</v>
      </c>
      <c r="C34" s="3">
        <v>8</v>
      </c>
      <c r="D34" s="3">
        <v>0</v>
      </c>
      <c r="E34" s="3">
        <v>67</v>
      </c>
      <c r="F34" s="31">
        <f t="shared" si="2"/>
        <v>75</v>
      </c>
      <c r="H34" s="4">
        <v>76.88</v>
      </c>
      <c r="I34" s="4">
        <v>0</v>
      </c>
      <c r="J34" s="4">
        <v>81.67</v>
      </c>
      <c r="K34" s="4">
        <v>81.08</v>
      </c>
      <c r="M34" s="4">
        <v>343.75</v>
      </c>
      <c r="N34" s="4">
        <v>265.10741999999999</v>
      </c>
      <c r="O34" s="4">
        <v>274.93773999999996</v>
      </c>
      <c r="Q34" s="29">
        <v>4624.5600000000004</v>
      </c>
      <c r="R34" s="29">
        <v>3463.34</v>
      </c>
      <c r="S34" s="29">
        <v>3608.49</v>
      </c>
    </row>
    <row r="35" spans="1:19" x14ac:dyDescent="0.2">
      <c r="A35" s="20">
        <v>15</v>
      </c>
      <c r="B35" s="21" t="s">
        <v>34</v>
      </c>
      <c r="C35" s="3">
        <v>27</v>
      </c>
      <c r="D35" s="3">
        <v>1</v>
      </c>
      <c r="E35" s="3">
        <v>119</v>
      </c>
      <c r="F35" s="31">
        <f t="shared" si="2"/>
        <v>147</v>
      </c>
      <c r="H35" s="4">
        <v>68.39</v>
      </c>
      <c r="I35" s="4">
        <v>48</v>
      </c>
      <c r="J35" s="4">
        <v>68.69</v>
      </c>
      <c r="K35" s="4">
        <v>68.48</v>
      </c>
      <c r="M35" s="4">
        <v>244.89739</v>
      </c>
      <c r="N35" s="4">
        <v>228.84701000000001</v>
      </c>
      <c r="O35" s="4">
        <v>231.68669</v>
      </c>
      <c r="Q35" s="29">
        <v>3874.6</v>
      </c>
      <c r="R35" s="29">
        <v>3348.41</v>
      </c>
      <c r="S35" s="29">
        <v>3441.51</v>
      </c>
    </row>
    <row r="36" spans="1:19" x14ac:dyDescent="0.2">
      <c r="A36" s="20">
        <v>16</v>
      </c>
      <c r="B36" s="21" t="s">
        <v>35</v>
      </c>
      <c r="C36" s="3">
        <v>37</v>
      </c>
      <c r="D36" s="3">
        <v>0</v>
      </c>
      <c r="E36" s="3">
        <v>141</v>
      </c>
      <c r="F36" s="31">
        <f t="shared" si="2"/>
        <v>178</v>
      </c>
      <c r="H36" s="4">
        <v>82.83</v>
      </c>
      <c r="I36" s="4">
        <v>0</v>
      </c>
      <c r="J36" s="4">
        <v>68.48</v>
      </c>
      <c r="K36" s="4">
        <v>71.33</v>
      </c>
      <c r="M36" s="4">
        <v>369.33971000000003</v>
      </c>
      <c r="N36" s="4">
        <v>244.898</v>
      </c>
      <c r="O36" s="4">
        <v>291.56364000000002</v>
      </c>
      <c r="Q36" s="29">
        <v>4459.68</v>
      </c>
      <c r="R36" s="29">
        <v>3618.34</v>
      </c>
      <c r="S36" s="29">
        <v>3933.84</v>
      </c>
    </row>
    <row r="37" spans="1:19" x14ac:dyDescent="0.2">
      <c r="A37" s="20">
        <v>17</v>
      </c>
      <c r="B37" s="21" t="s">
        <v>36</v>
      </c>
      <c r="C37" s="3">
        <v>30</v>
      </c>
      <c r="D37" s="3">
        <v>0</v>
      </c>
      <c r="E37" s="3">
        <v>205</v>
      </c>
      <c r="F37" s="31">
        <f t="shared" si="2"/>
        <v>235</v>
      </c>
      <c r="H37" s="4">
        <v>73</v>
      </c>
      <c r="I37" s="4">
        <v>0</v>
      </c>
      <c r="J37" s="4">
        <v>68.59</v>
      </c>
      <c r="K37" s="4">
        <v>69.13</v>
      </c>
      <c r="M37" s="4">
        <v>252.69565</v>
      </c>
      <c r="N37" s="4">
        <v>265.11915000000005</v>
      </c>
      <c r="O37" s="4">
        <v>261.20490000000001</v>
      </c>
      <c r="Q37" s="29">
        <v>3584.79</v>
      </c>
      <c r="R37" s="29">
        <v>3405.28</v>
      </c>
      <c r="S37" s="29">
        <v>3461.84</v>
      </c>
    </row>
    <row r="38" spans="1:19" x14ac:dyDescent="0.2">
      <c r="A38" s="20">
        <v>18</v>
      </c>
      <c r="B38" s="21" t="s">
        <v>37</v>
      </c>
      <c r="C38" s="3">
        <v>13</v>
      </c>
      <c r="D38" s="3">
        <v>0</v>
      </c>
      <c r="E38" s="3">
        <v>316</v>
      </c>
      <c r="F38" s="31">
        <f t="shared" si="2"/>
        <v>329</v>
      </c>
      <c r="H38" s="4">
        <v>77.7</v>
      </c>
      <c r="I38" s="4">
        <v>0</v>
      </c>
      <c r="J38" s="4">
        <v>69.38</v>
      </c>
      <c r="K38" s="4">
        <v>69.69</v>
      </c>
      <c r="M38" s="4">
        <v>254.7</v>
      </c>
      <c r="N38" s="4">
        <v>298.68773999999996</v>
      </c>
      <c r="O38" s="4">
        <v>296.08492000000001</v>
      </c>
      <c r="Q38" s="29">
        <v>3465.24</v>
      </c>
      <c r="R38" s="29">
        <v>4197.9799999999996</v>
      </c>
      <c r="S38" s="29">
        <v>4154.62</v>
      </c>
    </row>
    <row r="39" spans="1:19" x14ac:dyDescent="0.2">
      <c r="A39" s="20">
        <v>19</v>
      </c>
      <c r="B39" s="21" t="s">
        <v>38</v>
      </c>
      <c r="C39" s="3">
        <v>8</v>
      </c>
      <c r="D39" s="3">
        <v>1</v>
      </c>
      <c r="E39" s="3">
        <v>353</v>
      </c>
      <c r="F39" s="31">
        <f t="shared" si="2"/>
        <v>362</v>
      </c>
      <c r="H39" s="4">
        <v>97.29</v>
      </c>
      <c r="I39" s="4">
        <v>0</v>
      </c>
      <c r="J39" s="4">
        <v>88.36</v>
      </c>
      <c r="K39" s="4">
        <v>88.56</v>
      </c>
      <c r="M39" s="4">
        <v>648.82143000000008</v>
      </c>
      <c r="N39" s="4">
        <v>439.60505000000001</v>
      </c>
      <c r="O39" s="4">
        <v>445.02918</v>
      </c>
      <c r="Q39" s="29">
        <v>6914</v>
      </c>
      <c r="R39" s="29">
        <v>4993.3999999999996</v>
      </c>
      <c r="S39" s="29">
        <v>5043.1899999999996</v>
      </c>
    </row>
    <row r="40" spans="1:19" x14ac:dyDescent="0.2">
      <c r="A40" s="20">
        <v>20</v>
      </c>
      <c r="B40" s="21" t="s">
        <v>39</v>
      </c>
      <c r="C40" s="3">
        <v>0</v>
      </c>
      <c r="D40" s="3">
        <v>0</v>
      </c>
      <c r="E40" s="3">
        <v>154</v>
      </c>
      <c r="F40" s="31">
        <f t="shared" si="2"/>
        <v>154</v>
      </c>
      <c r="H40" s="4">
        <v>0</v>
      </c>
      <c r="I40" s="4">
        <v>0</v>
      </c>
      <c r="J40" s="4">
        <v>77.180000000000007</v>
      </c>
      <c r="K40" s="4">
        <v>77.180000000000007</v>
      </c>
      <c r="M40" s="4">
        <v>0</v>
      </c>
      <c r="N40" s="4">
        <v>388.67278999999996</v>
      </c>
      <c r="O40" s="4">
        <v>388.67278999999996</v>
      </c>
      <c r="Q40" s="29">
        <v>0</v>
      </c>
      <c r="R40" s="29">
        <v>4648.96</v>
      </c>
      <c r="S40" s="29">
        <v>4648.96</v>
      </c>
    </row>
    <row r="41" spans="1:19" x14ac:dyDescent="0.2">
      <c r="A41" s="20">
        <v>21</v>
      </c>
      <c r="B41" s="21" t="s">
        <v>40</v>
      </c>
      <c r="C41" s="3">
        <v>2</v>
      </c>
      <c r="D41" s="3">
        <v>0</v>
      </c>
      <c r="E41" s="3">
        <v>94</v>
      </c>
      <c r="F41" s="31">
        <f t="shared" si="2"/>
        <v>96</v>
      </c>
      <c r="H41" s="4">
        <v>78</v>
      </c>
      <c r="I41" s="4">
        <v>0</v>
      </c>
      <c r="J41" s="4">
        <v>160.71</v>
      </c>
      <c r="K41" s="4">
        <v>158.69</v>
      </c>
      <c r="M41" s="4">
        <v>0</v>
      </c>
      <c r="N41" s="4">
        <v>1069.5597700000001</v>
      </c>
      <c r="O41" s="4">
        <v>1054.3146499999998</v>
      </c>
      <c r="Q41" s="29">
        <v>0</v>
      </c>
      <c r="R41" s="29">
        <v>6126.51</v>
      </c>
      <c r="S41" s="29">
        <v>6124.46</v>
      </c>
    </row>
    <row r="42" spans="1:19" x14ac:dyDescent="0.2">
      <c r="A42" s="20">
        <v>22</v>
      </c>
      <c r="B42" s="21" t="s">
        <v>41</v>
      </c>
      <c r="C42" s="3">
        <v>2</v>
      </c>
      <c r="D42" s="3">
        <v>0</v>
      </c>
      <c r="E42" s="3">
        <v>18</v>
      </c>
      <c r="F42" s="31">
        <f t="shared" si="2"/>
        <v>20</v>
      </c>
      <c r="H42" s="4">
        <v>267</v>
      </c>
      <c r="I42" s="4">
        <v>0</v>
      </c>
      <c r="J42" s="4">
        <v>150.57</v>
      </c>
      <c r="K42" s="4">
        <v>165.12</v>
      </c>
      <c r="M42" s="4">
        <v>0</v>
      </c>
      <c r="N42" s="4">
        <v>495.41924</v>
      </c>
      <c r="O42" s="4">
        <v>464.44183000000004</v>
      </c>
      <c r="Q42" s="29">
        <v>0</v>
      </c>
      <c r="R42" s="29">
        <v>4913.2299999999996</v>
      </c>
      <c r="S42" s="29">
        <v>4603.05</v>
      </c>
    </row>
    <row r="43" spans="1:19" x14ac:dyDescent="0.2">
      <c r="A43" s="20">
        <v>23</v>
      </c>
      <c r="B43" s="21" t="s">
        <v>42</v>
      </c>
      <c r="C43" s="3">
        <v>20</v>
      </c>
      <c r="D43" s="3">
        <v>0</v>
      </c>
      <c r="E43" s="3">
        <v>163</v>
      </c>
      <c r="F43" s="31">
        <f t="shared" si="2"/>
        <v>183</v>
      </c>
      <c r="H43" s="4">
        <v>144.75</v>
      </c>
      <c r="I43" s="4">
        <v>0</v>
      </c>
      <c r="J43" s="4">
        <v>118.4</v>
      </c>
      <c r="K43" s="4">
        <v>121.61</v>
      </c>
      <c r="M43" s="4">
        <v>1652.4967799999999</v>
      </c>
      <c r="N43" s="4">
        <v>791.30777999999998</v>
      </c>
      <c r="O43" s="4">
        <v>905.37255000000005</v>
      </c>
      <c r="Q43" s="29">
        <v>11236.66</v>
      </c>
      <c r="R43" s="29">
        <v>6618.51</v>
      </c>
      <c r="S43" s="29">
        <v>7230.19</v>
      </c>
    </row>
    <row r="44" spans="1:19" x14ac:dyDescent="0.2">
      <c r="A44" s="20">
        <v>24</v>
      </c>
      <c r="B44" s="21" t="s">
        <v>43</v>
      </c>
      <c r="C44" s="3">
        <v>3</v>
      </c>
      <c r="D44" s="3">
        <v>0</v>
      </c>
      <c r="E44" s="3">
        <v>93</v>
      </c>
      <c r="F44" s="31">
        <f t="shared" si="2"/>
        <v>96</v>
      </c>
      <c r="H44" s="4">
        <v>144.66999999999999</v>
      </c>
      <c r="I44" s="4">
        <v>0</v>
      </c>
      <c r="J44" s="4">
        <v>148.22999999999999</v>
      </c>
      <c r="K44" s="4">
        <v>148.11000000000001</v>
      </c>
      <c r="M44" s="4">
        <v>803.66667000000007</v>
      </c>
      <c r="N44" s="4">
        <v>941.08488999999997</v>
      </c>
      <c r="O44" s="4">
        <v>936.11797000000001</v>
      </c>
      <c r="Q44" s="29">
        <v>5617.54</v>
      </c>
      <c r="R44" s="29">
        <v>6523.45</v>
      </c>
      <c r="S44" s="29">
        <v>6490.71</v>
      </c>
    </row>
    <row r="45" spans="1:19" x14ac:dyDescent="0.2">
      <c r="A45" s="20">
        <v>25</v>
      </c>
      <c r="B45" s="21" t="s">
        <v>44</v>
      </c>
      <c r="C45" s="3">
        <v>38</v>
      </c>
      <c r="D45" s="3">
        <v>0</v>
      </c>
      <c r="E45" s="3">
        <v>158</v>
      </c>
      <c r="F45" s="31">
        <f t="shared" si="2"/>
        <v>196</v>
      </c>
      <c r="H45" s="4">
        <v>108.36</v>
      </c>
      <c r="I45" s="4">
        <v>0</v>
      </c>
      <c r="J45" s="4">
        <v>133.36000000000001</v>
      </c>
      <c r="K45" s="4">
        <v>128.19</v>
      </c>
      <c r="M45" s="4">
        <v>795</v>
      </c>
      <c r="N45" s="4">
        <v>850.41770999999994</v>
      </c>
      <c r="O45" s="4">
        <v>838.95197999999993</v>
      </c>
      <c r="Q45" s="29">
        <v>8031.12</v>
      </c>
      <c r="R45" s="29">
        <v>6398.39</v>
      </c>
      <c r="S45" s="29">
        <v>6736.2</v>
      </c>
    </row>
    <row r="46" spans="1:19" x14ac:dyDescent="0.2">
      <c r="A46" s="20">
        <v>26</v>
      </c>
      <c r="B46" s="21" t="s">
        <v>45</v>
      </c>
      <c r="C46" s="3">
        <v>85</v>
      </c>
      <c r="D46" s="3">
        <v>0</v>
      </c>
      <c r="E46" s="3">
        <v>369</v>
      </c>
      <c r="F46" s="31">
        <f t="shared" si="2"/>
        <v>454</v>
      </c>
      <c r="H46" s="4">
        <v>116.6</v>
      </c>
      <c r="I46" s="4">
        <v>0</v>
      </c>
      <c r="J46" s="4">
        <v>136.19</v>
      </c>
      <c r="K46" s="4">
        <v>132.72</v>
      </c>
      <c r="M46" s="4">
        <v>690.23142000000007</v>
      </c>
      <c r="N46" s="4">
        <v>787.86487</v>
      </c>
      <c r="O46" s="4">
        <v>770.33467000000007</v>
      </c>
      <c r="Q46" s="29">
        <v>6152.12</v>
      </c>
      <c r="R46" s="29">
        <v>5810.78</v>
      </c>
      <c r="S46" s="29">
        <v>5872.07</v>
      </c>
    </row>
    <row r="47" spans="1:19" x14ac:dyDescent="0.2">
      <c r="A47" s="20">
        <v>27</v>
      </c>
      <c r="B47" s="21" t="s">
        <v>46</v>
      </c>
      <c r="C47" s="3">
        <v>10</v>
      </c>
      <c r="D47" s="3">
        <v>1</v>
      </c>
      <c r="E47" s="3">
        <v>173</v>
      </c>
      <c r="F47" s="31">
        <f t="shared" si="2"/>
        <v>184</v>
      </c>
      <c r="H47" s="4">
        <v>75</v>
      </c>
      <c r="I47" s="4">
        <v>72</v>
      </c>
      <c r="J47" s="4">
        <v>115.59</v>
      </c>
      <c r="K47" s="4">
        <v>112.88</v>
      </c>
      <c r="M47" s="4">
        <v>415.6</v>
      </c>
      <c r="N47" s="4">
        <v>502.91503</v>
      </c>
      <c r="O47" s="4">
        <v>497.49173999999999</v>
      </c>
      <c r="Q47" s="29">
        <v>5859.9</v>
      </c>
      <c r="R47" s="29">
        <v>4660.33</v>
      </c>
      <c r="S47" s="29">
        <v>4734.84</v>
      </c>
    </row>
    <row r="48" spans="1:19" x14ac:dyDescent="0.2">
      <c r="A48" s="20">
        <v>28</v>
      </c>
      <c r="B48" s="21" t="s">
        <v>47</v>
      </c>
      <c r="C48" s="3">
        <v>36</v>
      </c>
      <c r="D48" s="3">
        <v>1</v>
      </c>
      <c r="E48" s="3">
        <v>97</v>
      </c>
      <c r="F48" s="31">
        <f t="shared" si="2"/>
        <v>134</v>
      </c>
      <c r="H48" s="4">
        <v>86.61</v>
      </c>
      <c r="I48" s="4">
        <v>0</v>
      </c>
      <c r="J48" s="4">
        <v>92.82</v>
      </c>
      <c r="K48" s="4">
        <v>91.11</v>
      </c>
      <c r="M48" s="4">
        <v>444.25771000000003</v>
      </c>
      <c r="N48" s="4">
        <v>379.31837000000002</v>
      </c>
      <c r="O48" s="4">
        <v>397.63459</v>
      </c>
      <c r="Q48" s="29">
        <v>5534.82</v>
      </c>
      <c r="R48" s="29">
        <v>4081.92</v>
      </c>
      <c r="S48" s="29">
        <v>4491.71</v>
      </c>
    </row>
    <row r="49" spans="1:19" x14ac:dyDescent="0.2">
      <c r="A49" s="20">
        <v>29</v>
      </c>
      <c r="B49" s="21" t="s">
        <v>48</v>
      </c>
      <c r="C49" s="3">
        <v>25</v>
      </c>
      <c r="D49" s="3">
        <v>0</v>
      </c>
      <c r="E49" s="3">
        <v>48</v>
      </c>
      <c r="F49" s="31">
        <f t="shared" si="2"/>
        <v>73</v>
      </c>
      <c r="H49" s="4">
        <v>63.91</v>
      </c>
      <c r="I49" s="4">
        <v>0</v>
      </c>
      <c r="J49" s="4">
        <v>71.36</v>
      </c>
      <c r="K49" s="4">
        <v>68.8</v>
      </c>
      <c r="M49" s="4">
        <v>222.54336999999998</v>
      </c>
      <c r="N49" s="4">
        <v>231.75486999999998</v>
      </c>
      <c r="O49" s="4">
        <v>228.44449</v>
      </c>
      <c r="Q49" s="29">
        <v>3401.74</v>
      </c>
      <c r="R49" s="29">
        <v>3237.96</v>
      </c>
      <c r="S49" s="29">
        <v>3296.82</v>
      </c>
    </row>
    <row r="50" spans="1:19" x14ac:dyDescent="0.2">
      <c r="A50" s="20">
        <v>30</v>
      </c>
      <c r="B50" s="21" t="s">
        <v>49</v>
      </c>
      <c r="C50" s="3">
        <v>3</v>
      </c>
      <c r="D50" s="3">
        <v>0</v>
      </c>
      <c r="E50" s="3">
        <v>137</v>
      </c>
      <c r="F50" s="31">
        <f t="shared" si="2"/>
        <v>140</v>
      </c>
      <c r="H50" s="4">
        <v>83</v>
      </c>
      <c r="I50" s="4">
        <v>0</v>
      </c>
      <c r="J50" s="4">
        <v>83.07</v>
      </c>
      <c r="K50" s="4">
        <v>83.07</v>
      </c>
      <c r="M50" s="4">
        <v>377.5</v>
      </c>
      <c r="N50" s="4">
        <v>375.28357</v>
      </c>
      <c r="O50" s="4">
        <v>375.31819999999999</v>
      </c>
      <c r="Q50" s="29">
        <v>4582.0600000000004</v>
      </c>
      <c r="R50" s="29">
        <v>4627.24</v>
      </c>
      <c r="S50" s="29">
        <v>4626.53</v>
      </c>
    </row>
    <row r="51" spans="1:19" x14ac:dyDescent="0.2">
      <c r="A51" s="20">
        <v>31</v>
      </c>
      <c r="B51" s="21" t="s">
        <v>50</v>
      </c>
      <c r="C51" s="3">
        <v>23</v>
      </c>
      <c r="D51" s="3">
        <v>0</v>
      </c>
      <c r="E51" s="3">
        <v>448</v>
      </c>
      <c r="F51" s="31">
        <f t="shared" si="2"/>
        <v>471</v>
      </c>
      <c r="H51" s="4">
        <v>111.16</v>
      </c>
      <c r="I51" s="4">
        <v>0</v>
      </c>
      <c r="J51" s="4">
        <v>79.14</v>
      </c>
      <c r="K51" s="4">
        <v>80.62</v>
      </c>
      <c r="M51" s="4">
        <v>1268.0958999999998</v>
      </c>
      <c r="N51" s="4">
        <v>375.45491999999996</v>
      </c>
      <c r="O51" s="4">
        <v>416.92234999999999</v>
      </c>
      <c r="Q51" s="29">
        <v>7677.72</v>
      </c>
      <c r="R51" s="29">
        <v>4920.4799999999996</v>
      </c>
      <c r="S51" s="29">
        <v>5048.57</v>
      </c>
    </row>
    <row r="52" spans="1:19" x14ac:dyDescent="0.2">
      <c r="A52" s="20">
        <v>32</v>
      </c>
      <c r="B52" s="21" t="s">
        <v>51</v>
      </c>
      <c r="C52" s="3">
        <v>7</v>
      </c>
      <c r="D52" s="3">
        <v>0</v>
      </c>
      <c r="E52" s="3">
        <v>317</v>
      </c>
      <c r="F52" s="31">
        <f t="shared" si="2"/>
        <v>324</v>
      </c>
      <c r="H52" s="4">
        <v>104.71</v>
      </c>
      <c r="I52" s="4">
        <v>0</v>
      </c>
      <c r="J52" s="4">
        <v>71.459999999999994</v>
      </c>
      <c r="K52" s="4">
        <v>72.23</v>
      </c>
      <c r="M52" s="4">
        <v>686.74287000000004</v>
      </c>
      <c r="N52" s="4">
        <v>325.84499</v>
      </c>
      <c r="O52" s="4">
        <v>334.40866999999997</v>
      </c>
      <c r="Q52" s="29">
        <v>6743.15</v>
      </c>
      <c r="R52" s="29">
        <v>4591.21</v>
      </c>
      <c r="S52" s="29">
        <v>4642.2700000000004</v>
      </c>
    </row>
    <row r="53" spans="1:19" x14ac:dyDescent="0.2">
      <c r="A53" s="20">
        <v>33</v>
      </c>
      <c r="B53" s="21" t="s">
        <v>52</v>
      </c>
      <c r="C53" s="3">
        <v>20</v>
      </c>
      <c r="D53" s="3">
        <v>0</v>
      </c>
      <c r="E53" s="3">
        <v>220</v>
      </c>
      <c r="F53" s="31">
        <f t="shared" si="2"/>
        <v>240</v>
      </c>
      <c r="H53" s="4">
        <v>63.5</v>
      </c>
      <c r="I53" s="4">
        <v>0</v>
      </c>
      <c r="J53" s="4">
        <v>72.14</v>
      </c>
      <c r="K53" s="4">
        <v>71.37</v>
      </c>
      <c r="M53" s="4">
        <v>252.82353000000001</v>
      </c>
      <c r="N53" s="4">
        <v>270.69675000000001</v>
      </c>
      <c r="O53" s="4">
        <v>269.16989000000001</v>
      </c>
      <c r="Q53" s="29">
        <v>4046.32</v>
      </c>
      <c r="R53" s="29">
        <v>3877.45</v>
      </c>
      <c r="S53" s="29">
        <v>3891.88</v>
      </c>
    </row>
    <row r="54" spans="1:19" x14ac:dyDescent="0.2">
      <c r="A54" s="20">
        <v>34</v>
      </c>
      <c r="B54" s="21" t="s">
        <v>53</v>
      </c>
      <c r="C54" s="3">
        <v>0</v>
      </c>
      <c r="D54" s="3">
        <v>0</v>
      </c>
      <c r="E54" s="3">
        <v>99</v>
      </c>
      <c r="F54" s="31">
        <f t="shared" si="2"/>
        <v>99</v>
      </c>
      <c r="H54" s="4">
        <v>0</v>
      </c>
      <c r="I54" s="4">
        <v>0</v>
      </c>
      <c r="J54" s="4">
        <v>65.23</v>
      </c>
      <c r="K54" s="4">
        <v>65.23</v>
      </c>
      <c r="M54" s="4">
        <v>0</v>
      </c>
      <c r="N54" s="4">
        <v>190.47535999999999</v>
      </c>
      <c r="O54" s="4">
        <v>190.47535999999999</v>
      </c>
      <c r="Q54" s="29">
        <v>0</v>
      </c>
      <c r="R54" s="29">
        <v>2939.64</v>
      </c>
      <c r="S54" s="29">
        <v>2939.64</v>
      </c>
    </row>
    <row r="55" spans="1:19" x14ac:dyDescent="0.2">
      <c r="A55" s="20">
        <v>35</v>
      </c>
      <c r="B55" s="21" t="s">
        <v>54</v>
      </c>
      <c r="C55" s="3">
        <v>13</v>
      </c>
      <c r="D55" s="3">
        <v>0</v>
      </c>
      <c r="E55" s="3">
        <v>257</v>
      </c>
      <c r="F55" s="31">
        <f t="shared" si="2"/>
        <v>270</v>
      </c>
      <c r="H55" s="4">
        <v>57.42</v>
      </c>
      <c r="I55" s="4">
        <v>0</v>
      </c>
      <c r="J55" s="4">
        <v>75.53</v>
      </c>
      <c r="K55" s="4">
        <v>74.62</v>
      </c>
      <c r="M55" s="4">
        <v>298.15949999999998</v>
      </c>
      <c r="N55" s="4">
        <v>260.43047999999999</v>
      </c>
      <c r="O55" s="4">
        <v>262.34080999999998</v>
      </c>
      <c r="Q55" s="29">
        <v>6873.94</v>
      </c>
      <c r="R55" s="29">
        <v>3629.42</v>
      </c>
      <c r="S55" s="29">
        <v>3793.7</v>
      </c>
    </row>
    <row r="56" spans="1:19" x14ac:dyDescent="0.2">
      <c r="A56" s="20">
        <v>36</v>
      </c>
      <c r="B56" s="21" t="s">
        <v>55</v>
      </c>
      <c r="C56" s="3">
        <v>6</v>
      </c>
      <c r="D56" s="3">
        <v>0</v>
      </c>
      <c r="E56" s="3">
        <v>80</v>
      </c>
      <c r="F56" s="31">
        <f t="shared" si="2"/>
        <v>86</v>
      </c>
      <c r="H56" s="4">
        <v>103.5</v>
      </c>
      <c r="I56" s="4">
        <v>0</v>
      </c>
      <c r="J56" s="4">
        <v>79.89</v>
      </c>
      <c r="K56" s="4">
        <v>81.680000000000007</v>
      </c>
      <c r="M56" s="4">
        <v>549.71667000000002</v>
      </c>
      <c r="N56" s="4">
        <v>334.29723999999999</v>
      </c>
      <c r="O56" s="4">
        <v>350.65821</v>
      </c>
      <c r="Q56" s="29">
        <v>5121.8100000000004</v>
      </c>
      <c r="R56" s="29">
        <v>4137.92</v>
      </c>
      <c r="S56" s="29">
        <v>4212.6499999999996</v>
      </c>
    </row>
    <row r="57" spans="1:19" x14ac:dyDescent="0.2">
      <c r="A57" s="20">
        <v>37</v>
      </c>
      <c r="B57" s="21" t="s">
        <v>56</v>
      </c>
      <c r="C57" s="3">
        <v>42</v>
      </c>
      <c r="D57" s="3">
        <v>4</v>
      </c>
      <c r="E57" s="3">
        <v>233</v>
      </c>
      <c r="F57" s="31">
        <f t="shared" si="2"/>
        <v>279</v>
      </c>
      <c r="H57" s="4">
        <v>63.82</v>
      </c>
      <c r="I57" s="4">
        <v>73.75</v>
      </c>
      <c r="J57" s="4">
        <v>62.45</v>
      </c>
      <c r="K57" s="4">
        <v>62.84</v>
      </c>
      <c r="M57" s="4">
        <v>156.66154</v>
      </c>
      <c r="N57" s="4">
        <v>152.54453000000001</v>
      </c>
      <c r="O57" s="4">
        <v>153.22201000000001</v>
      </c>
      <c r="Q57" s="29">
        <v>2523.71</v>
      </c>
      <c r="R57" s="29">
        <v>2531.34</v>
      </c>
      <c r="S57" s="29">
        <v>2530.08</v>
      </c>
    </row>
    <row r="58" spans="1:19" x14ac:dyDescent="0.2">
      <c r="A58" s="20">
        <v>38</v>
      </c>
      <c r="B58" s="21" t="s">
        <v>57</v>
      </c>
      <c r="C58" s="3">
        <v>40</v>
      </c>
      <c r="D58" s="3">
        <v>0</v>
      </c>
      <c r="E58" s="3">
        <v>82</v>
      </c>
      <c r="F58" s="31">
        <f t="shared" si="2"/>
        <v>122</v>
      </c>
      <c r="H58" s="4">
        <v>77.89</v>
      </c>
      <c r="I58" s="4">
        <v>0</v>
      </c>
      <c r="J58" s="4">
        <v>64.319999999999993</v>
      </c>
      <c r="K58" s="4">
        <v>68.8</v>
      </c>
      <c r="M58" s="4">
        <v>248.62509</v>
      </c>
      <c r="N58" s="4">
        <v>168.20513</v>
      </c>
      <c r="O58" s="4">
        <v>195.24901</v>
      </c>
      <c r="Q58" s="29">
        <v>3125.42</v>
      </c>
      <c r="R58" s="29">
        <v>2657.03</v>
      </c>
      <c r="S58" s="29">
        <v>2814.54</v>
      </c>
    </row>
    <row r="59" spans="1:19" x14ac:dyDescent="0.2">
      <c r="A59" s="20">
        <v>39</v>
      </c>
      <c r="B59" s="21" t="s">
        <v>58</v>
      </c>
      <c r="C59" s="3">
        <v>24</v>
      </c>
      <c r="D59" s="3">
        <v>3</v>
      </c>
      <c r="E59" s="3">
        <v>29</v>
      </c>
      <c r="F59" s="31">
        <f t="shared" si="2"/>
        <v>56</v>
      </c>
      <c r="H59" s="4">
        <v>66.95</v>
      </c>
      <c r="I59" s="4">
        <v>55</v>
      </c>
      <c r="J59" s="4">
        <v>62.15</v>
      </c>
      <c r="K59" s="4">
        <v>63.77</v>
      </c>
      <c r="M59" s="4">
        <v>243.09285999999997</v>
      </c>
      <c r="N59" s="4">
        <v>178.89243999999999</v>
      </c>
      <c r="O59" s="4">
        <v>208.20132999999998</v>
      </c>
      <c r="Q59" s="29">
        <v>3714.79</v>
      </c>
      <c r="R59" s="29">
        <v>2761.07</v>
      </c>
      <c r="S59" s="29">
        <v>3196.46</v>
      </c>
    </row>
    <row r="60" spans="1:19" x14ac:dyDescent="0.2">
      <c r="A60" s="20">
        <v>40</v>
      </c>
      <c r="B60" s="21" t="s">
        <v>59</v>
      </c>
      <c r="C60" s="3">
        <v>6</v>
      </c>
      <c r="D60" s="3">
        <v>0</v>
      </c>
      <c r="E60" s="3">
        <v>28</v>
      </c>
      <c r="F60" s="31">
        <f t="shared" si="2"/>
        <v>34</v>
      </c>
      <c r="H60" s="4">
        <v>60.83</v>
      </c>
      <c r="I60" s="4">
        <v>0</v>
      </c>
      <c r="J60" s="4">
        <v>66.650000000000006</v>
      </c>
      <c r="K60" s="4">
        <v>65.45</v>
      </c>
      <c r="M60" s="4">
        <v>170.5</v>
      </c>
      <c r="N60" s="4">
        <v>190.875</v>
      </c>
      <c r="O60" s="4">
        <v>186.17308</v>
      </c>
      <c r="Q60" s="29">
        <v>2809.19</v>
      </c>
      <c r="R60" s="29">
        <v>3033.51</v>
      </c>
      <c r="S60" s="29">
        <v>2981.74</v>
      </c>
    </row>
    <row r="61" spans="1:19" x14ac:dyDescent="0.2">
      <c r="A61" s="20">
        <v>41</v>
      </c>
      <c r="B61" s="21" t="s">
        <v>60</v>
      </c>
      <c r="C61" s="3">
        <v>2</v>
      </c>
      <c r="D61" s="3">
        <v>0</v>
      </c>
      <c r="E61" s="3">
        <v>27</v>
      </c>
      <c r="F61" s="31">
        <f t="shared" si="2"/>
        <v>29</v>
      </c>
      <c r="H61" s="4">
        <v>50</v>
      </c>
      <c r="I61" s="4">
        <v>0</v>
      </c>
      <c r="J61" s="4">
        <v>62.78</v>
      </c>
      <c r="K61" s="4">
        <v>62.32</v>
      </c>
      <c r="M61" s="4">
        <v>0</v>
      </c>
      <c r="N61" s="4">
        <v>258.96296000000001</v>
      </c>
      <c r="O61" s="4">
        <v>258.03570999999999</v>
      </c>
      <c r="Q61" s="29">
        <v>0</v>
      </c>
      <c r="R61" s="29">
        <v>4255.4399999999996</v>
      </c>
      <c r="S61" s="29">
        <v>4269.8900000000003</v>
      </c>
    </row>
    <row r="62" spans="1:19" x14ac:dyDescent="0.2">
      <c r="A62" s="20">
        <v>42</v>
      </c>
      <c r="B62" s="21" t="s">
        <v>61</v>
      </c>
      <c r="C62" s="3">
        <v>40</v>
      </c>
      <c r="D62" s="3">
        <v>1</v>
      </c>
      <c r="E62" s="3">
        <v>1</v>
      </c>
      <c r="F62" s="31">
        <f t="shared" si="2"/>
        <v>42</v>
      </c>
      <c r="H62" s="4">
        <v>86.38</v>
      </c>
      <c r="I62" s="4">
        <v>88</v>
      </c>
      <c r="J62" s="4">
        <v>0</v>
      </c>
      <c r="K62" s="4">
        <v>86.42</v>
      </c>
      <c r="M62" s="4">
        <v>345.12853999999999</v>
      </c>
      <c r="N62" s="4">
        <v>0</v>
      </c>
      <c r="O62" s="4">
        <v>345.12853999999999</v>
      </c>
      <c r="Q62" s="29">
        <v>3926.72</v>
      </c>
      <c r="R62" s="29">
        <v>0</v>
      </c>
      <c r="S62" s="29">
        <v>3926.72</v>
      </c>
    </row>
    <row r="63" spans="1:19" x14ac:dyDescent="0.2">
      <c r="A63" s="20">
        <v>43</v>
      </c>
      <c r="B63" s="21" t="s">
        <v>62</v>
      </c>
      <c r="C63" s="3">
        <v>25</v>
      </c>
      <c r="D63" s="3">
        <v>3</v>
      </c>
      <c r="E63" s="3">
        <v>165</v>
      </c>
      <c r="F63" s="31">
        <f t="shared" si="2"/>
        <v>193</v>
      </c>
      <c r="H63" s="4">
        <v>84.32</v>
      </c>
      <c r="I63" s="4">
        <v>65.67</v>
      </c>
      <c r="J63" s="4">
        <v>67.92</v>
      </c>
      <c r="K63" s="4">
        <v>69.989999999999995</v>
      </c>
      <c r="M63" s="4">
        <v>328.17953999999997</v>
      </c>
      <c r="N63" s="4">
        <v>243.00958</v>
      </c>
      <c r="O63" s="4">
        <v>258.12038000000001</v>
      </c>
      <c r="Q63" s="29">
        <v>3706.78</v>
      </c>
      <c r="R63" s="29">
        <v>3472.17</v>
      </c>
      <c r="S63" s="29">
        <v>3513.79</v>
      </c>
    </row>
    <row r="64" spans="1:19" x14ac:dyDescent="0.2">
      <c r="A64" s="20">
        <v>44</v>
      </c>
      <c r="B64" s="21" t="s">
        <v>63</v>
      </c>
      <c r="C64" s="3">
        <v>1</v>
      </c>
      <c r="D64" s="3">
        <v>0</v>
      </c>
      <c r="E64" s="3">
        <v>193</v>
      </c>
      <c r="F64" s="31">
        <f t="shared" si="2"/>
        <v>194</v>
      </c>
      <c r="H64" s="4">
        <v>0</v>
      </c>
      <c r="I64" s="4">
        <v>0</v>
      </c>
      <c r="J64" s="4">
        <v>73.11</v>
      </c>
      <c r="K64" s="4">
        <v>73.11</v>
      </c>
      <c r="M64" s="4">
        <v>0</v>
      </c>
      <c r="N64" s="4">
        <v>251.00189</v>
      </c>
      <c r="O64" s="4">
        <v>251.00189</v>
      </c>
      <c r="Q64" s="29">
        <v>0</v>
      </c>
      <c r="R64" s="29">
        <v>3355.93</v>
      </c>
      <c r="S64" s="29">
        <v>3355.93</v>
      </c>
    </row>
    <row r="65" spans="1:19" x14ac:dyDescent="0.2">
      <c r="A65" s="20">
        <v>45</v>
      </c>
      <c r="B65" s="21" t="s">
        <v>64</v>
      </c>
      <c r="C65" s="3">
        <v>4</v>
      </c>
      <c r="D65" s="3">
        <v>1</v>
      </c>
      <c r="E65" s="3">
        <v>149</v>
      </c>
      <c r="F65" s="31">
        <f t="shared" si="2"/>
        <v>154</v>
      </c>
      <c r="H65" s="4">
        <v>62.33</v>
      </c>
      <c r="I65" s="4">
        <v>74</v>
      </c>
      <c r="J65" s="4">
        <v>65.97</v>
      </c>
      <c r="K65" s="4">
        <v>65.95</v>
      </c>
      <c r="M65" s="4">
        <v>106.66667</v>
      </c>
      <c r="N65" s="4">
        <v>206.41254000000001</v>
      </c>
      <c r="O65" s="4">
        <v>200.97185999999999</v>
      </c>
      <c r="Q65" s="29">
        <v>1741.79</v>
      </c>
      <c r="R65" s="29">
        <v>2896.14</v>
      </c>
      <c r="S65" s="29">
        <v>2833.18</v>
      </c>
    </row>
    <row r="66" spans="1:19" x14ac:dyDescent="0.2">
      <c r="A66" s="20">
        <v>46</v>
      </c>
      <c r="B66" s="21" t="s">
        <v>65</v>
      </c>
      <c r="C66" s="3">
        <v>2</v>
      </c>
      <c r="D66" s="3">
        <v>0</v>
      </c>
      <c r="E66" s="3">
        <v>165</v>
      </c>
      <c r="F66" s="31">
        <f t="shared" si="2"/>
        <v>167</v>
      </c>
      <c r="H66" s="4">
        <v>47</v>
      </c>
      <c r="I66" s="4">
        <v>0</v>
      </c>
      <c r="J66" s="4">
        <v>64.14</v>
      </c>
      <c r="K66" s="4">
        <v>63.91</v>
      </c>
      <c r="M66" s="4">
        <v>0</v>
      </c>
      <c r="N66" s="4">
        <v>170.72676999999999</v>
      </c>
      <c r="O66" s="4">
        <v>172.47163</v>
      </c>
      <c r="Q66" s="29">
        <v>0</v>
      </c>
      <c r="R66" s="29">
        <v>2526.0300000000002</v>
      </c>
      <c r="S66" s="29">
        <v>2600.66</v>
      </c>
    </row>
    <row r="67" spans="1:19" x14ac:dyDescent="0.2">
      <c r="A67" s="20">
        <v>47</v>
      </c>
      <c r="B67" s="21" t="s">
        <v>66</v>
      </c>
      <c r="C67" s="3">
        <v>0</v>
      </c>
      <c r="D67" s="3">
        <v>0</v>
      </c>
      <c r="E67" s="3">
        <v>5</v>
      </c>
      <c r="F67" s="31">
        <f t="shared" si="2"/>
        <v>5</v>
      </c>
      <c r="H67" s="4">
        <v>0</v>
      </c>
      <c r="I67" s="4">
        <v>0</v>
      </c>
      <c r="J67" s="4">
        <v>75</v>
      </c>
      <c r="K67" s="4">
        <v>75</v>
      </c>
      <c r="M67" s="4">
        <v>0</v>
      </c>
      <c r="N67" s="4">
        <v>215</v>
      </c>
      <c r="O67" s="4">
        <v>215</v>
      </c>
      <c r="Q67" s="29">
        <v>0</v>
      </c>
      <c r="R67" s="29">
        <v>2905.41</v>
      </c>
      <c r="S67" s="29">
        <v>2905.41</v>
      </c>
    </row>
    <row r="68" spans="1:19" x14ac:dyDescent="0.2">
      <c r="A68" s="20">
        <v>48</v>
      </c>
      <c r="B68" s="21" t="s">
        <v>67</v>
      </c>
      <c r="C68" s="3">
        <v>0</v>
      </c>
      <c r="D68" s="3">
        <v>0</v>
      </c>
      <c r="E68" s="3">
        <v>93</v>
      </c>
      <c r="F68" s="31">
        <f t="shared" si="2"/>
        <v>93</v>
      </c>
      <c r="H68" s="4">
        <v>0</v>
      </c>
      <c r="I68" s="4">
        <v>0</v>
      </c>
      <c r="J68" s="4">
        <v>71.86</v>
      </c>
      <c r="K68" s="4">
        <v>71.86</v>
      </c>
      <c r="M68" s="4">
        <v>0</v>
      </c>
      <c r="N68" s="4">
        <v>195.77763000000002</v>
      </c>
      <c r="O68" s="4">
        <v>195.77763000000002</v>
      </c>
      <c r="Q68" s="29">
        <v>0</v>
      </c>
      <c r="R68" s="29">
        <v>2635.91</v>
      </c>
      <c r="S68" s="29">
        <v>2635.91</v>
      </c>
    </row>
    <row r="69" spans="1:19" x14ac:dyDescent="0.2">
      <c r="A69" s="20">
        <v>49</v>
      </c>
      <c r="B69" s="21" t="s">
        <v>68</v>
      </c>
      <c r="C69" s="3">
        <v>0</v>
      </c>
      <c r="D69" s="3">
        <v>0</v>
      </c>
      <c r="E69" s="3">
        <v>42</v>
      </c>
      <c r="F69" s="31">
        <f t="shared" si="2"/>
        <v>42</v>
      </c>
      <c r="H69" s="4">
        <v>0</v>
      </c>
      <c r="I69" s="4">
        <v>0</v>
      </c>
      <c r="J69" s="4">
        <v>71.180000000000007</v>
      </c>
      <c r="K69" s="4">
        <v>71.180000000000007</v>
      </c>
      <c r="M69" s="4">
        <v>0</v>
      </c>
      <c r="N69" s="4">
        <v>205.036</v>
      </c>
      <c r="O69" s="4">
        <v>205.036</v>
      </c>
      <c r="Q69" s="29">
        <v>0</v>
      </c>
      <c r="R69" s="29">
        <v>2774.44</v>
      </c>
      <c r="S69" s="29">
        <v>2774.44</v>
      </c>
    </row>
    <row r="70" spans="1:19" x14ac:dyDescent="0.2">
      <c r="A70" s="20">
        <v>50</v>
      </c>
      <c r="B70" s="21" t="s">
        <v>69</v>
      </c>
      <c r="C70" s="3">
        <v>0</v>
      </c>
      <c r="D70" s="3">
        <v>0</v>
      </c>
      <c r="E70" s="3">
        <v>189</v>
      </c>
      <c r="F70" s="31">
        <f t="shared" si="2"/>
        <v>189</v>
      </c>
      <c r="H70" s="4">
        <v>0</v>
      </c>
      <c r="I70" s="4">
        <v>0</v>
      </c>
      <c r="J70" s="4">
        <v>56.42</v>
      </c>
      <c r="K70" s="4">
        <v>56.42</v>
      </c>
      <c r="M70" s="4">
        <v>0</v>
      </c>
      <c r="N70" s="4">
        <v>121.13056</v>
      </c>
      <c r="O70" s="4">
        <v>121.13056</v>
      </c>
      <c r="Q70" s="29">
        <v>0</v>
      </c>
      <c r="R70" s="29">
        <v>2236.7600000000002</v>
      </c>
      <c r="S70" s="29">
        <v>2236.7600000000002</v>
      </c>
    </row>
    <row r="71" spans="1:19" x14ac:dyDescent="0.2">
      <c r="A71" s="20">
        <v>51</v>
      </c>
      <c r="B71" s="21" t="s">
        <v>70</v>
      </c>
      <c r="C71" s="3">
        <v>2</v>
      </c>
      <c r="D71" s="3">
        <v>0</v>
      </c>
      <c r="E71" s="3">
        <v>163</v>
      </c>
      <c r="F71" s="31">
        <f t="shared" si="2"/>
        <v>165</v>
      </c>
      <c r="H71" s="4">
        <v>63.5</v>
      </c>
      <c r="I71" s="4">
        <v>0</v>
      </c>
      <c r="J71" s="4">
        <v>59.34</v>
      </c>
      <c r="K71" s="4">
        <v>59.4</v>
      </c>
      <c r="M71" s="4">
        <v>0</v>
      </c>
      <c r="N71" s="4">
        <v>147.69807999999998</v>
      </c>
      <c r="O71" s="4">
        <v>149.61525</v>
      </c>
      <c r="Q71" s="29">
        <v>0</v>
      </c>
      <c r="R71" s="29">
        <v>2361.86</v>
      </c>
      <c r="S71" s="29">
        <v>2390.52</v>
      </c>
    </row>
    <row r="72" spans="1:19" x14ac:dyDescent="0.2">
      <c r="A72" s="20">
        <v>52</v>
      </c>
      <c r="B72" s="21" t="s">
        <v>71</v>
      </c>
      <c r="C72" s="3">
        <v>4</v>
      </c>
      <c r="D72" s="3">
        <v>0</v>
      </c>
      <c r="E72" s="3">
        <v>207</v>
      </c>
      <c r="F72" s="31">
        <f t="shared" si="2"/>
        <v>211</v>
      </c>
      <c r="H72" s="4">
        <v>118.25</v>
      </c>
      <c r="I72" s="4">
        <v>0</v>
      </c>
      <c r="J72" s="4">
        <v>60.47</v>
      </c>
      <c r="K72" s="4">
        <v>61.75</v>
      </c>
      <c r="M72" s="4">
        <v>245.37524999999999</v>
      </c>
      <c r="N72" s="4">
        <v>168.48003</v>
      </c>
      <c r="O72" s="4">
        <v>172.63652999999999</v>
      </c>
      <c r="Q72" s="29">
        <v>2226.1999999999998</v>
      </c>
      <c r="R72" s="29">
        <v>2759.56</v>
      </c>
      <c r="S72" s="29">
        <v>2730.73</v>
      </c>
    </row>
    <row r="73" spans="1:19" x14ac:dyDescent="0.2">
      <c r="A73" s="20">
        <v>53</v>
      </c>
      <c r="B73" s="21" t="s">
        <v>72</v>
      </c>
      <c r="C73" s="3">
        <v>0</v>
      </c>
      <c r="D73" s="3">
        <v>0</v>
      </c>
      <c r="E73" s="3">
        <v>96</v>
      </c>
      <c r="F73" s="31">
        <f t="shared" si="2"/>
        <v>96</v>
      </c>
      <c r="H73" s="4">
        <v>0</v>
      </c>
      <c r="I73" s="4">
        <v>0</v>
      </c>
      <c r="J73" s="4">
        <v>60.43</v>
      </c>
      <c r="K73" s="4">
        <v>60.43</v>
      </c>
      <c r="M73" s="4">
        <v>0</v>
      </c>
      <c r="N73" s="4">
        <v>124.25645</v>
      </c>
      <c r="O73" s="4">
        <v>124.25645</v>
      </c>
      <c r="Q73" s="29">
        <v>0</v>
      </c>
      <c r="R73" s="29">
        <v>2137.5100000000002</v>
      </c>
      <c r="S73" s="29">
        <v>2137.5100000000002</v>
      </c>
    </row>
    <row r="74" spans="1:19" x14ac:dyDescent="0.2">
      <c r="A74" s="20">
        <v>54</v>
      </c>
      <c r="B74" s="21" t="s">
        <v>73</v>
      </c>
      <c r="C74" s="3">
        <v>0</v>
      </c>
      <c r="D74" s="3">
        <v>0</v>
      </c>
      <c r="E74" s="3">
        <v>10</v>
      </c>
      <c r="F74" s="31">
        <f t="shared" si="2"/>
        <v>10</v>
      </c>
      <c r="H74" s="4">
        <v>0</v>
      </c>
      <c r="I74" s="4">
        <v>0</v>
      </c>
      <c r="J74" s="4">
        <v>60.5</v>
      </c>
      <c r="K74" s="4">
        <v>60.5</v>
      </c>
      <c r="M74" s="4">
        <v>0</v>
      </c>
      <c r="N74" s="4">
        <v>114.16275999999999</v>
      </c>
      <c r="O74" s="4">
        <v>114.16275999999999</v>
      </c>
      <c r="Q74" s="29">
        <v>0</v>
      </c>
      <c r="R74" s="29">
        <v>1682.76</v>
      </c>
      <c r="S74" s="29">
        <v>1682.76</v>
      </c>
    </row>
    <row r="75" spans="1:19" x14ac:dyDescent="0.2">
      <c r="A75" s="20">
        <v>55</v>
      </c>
      <c r="B75" s="21" t="s">
        <v>74</v>
      </c>
      <c r="C75" s="3">
        <v>0</v>
      </c>
      <c r="D75" s="3">
        <v>0</v>
      </c>
      <c r="E75" s="3">
        <v>143</v>
      </c>
      <c r="F75" s="31">
        <f t="shared" si="2"/>
        <v>143</v>
      </c>
      <c r="H75" s="4">
        <v>0</v>
      </c>
      <c r="I75" s="4">
        <v>0</v>
      </c>
      <c r="J75" s="4">
        <v>59.15</v>
      </c>
      <c r="K75" s="4">
        <v>59.15</v>
      </c>
      <c r="M75" s="4">
        <v>0</v>
      </c>
      <c r="N75" s="4">
        <v>106.79189</v>
      </c>
      <c r="O75" s="4">
        <v>106.79189</v>
      </c>
      <c r="Q75" s="29">
        <v>0</v>
      </c>
      <c r="R75" s="29">
        <v>1762.78</v>
      </c>
      <c r="S75" s="29">
        <v>1762.78</v>
      </c>
    </row>
    <row r="76" spans="1:19" x14ac:dyDescent="0.2">
      <c r="A76" s="20">
        <v>56</v>
      </c>
      <c r="B76" s="21" t="s">
        <v>75</v>
      </c>
      <c r="C76" s="3">
        <v>0</v>
      </c>
      <c r="D76" s="3">
        <v>0</v>
      </c>
      <c r="E76" s="3">
        <v>8</v>
      </c>
      <c r="F76" s="31">
        <f t="shared" si="2"/>
        <v>8</v>
      </c>
      <c r="H76" s="4">
        <v>0</v>
      </c>
      <c r="I76" s="4">
        <v>0</v>
      </c>
      <c r="J76" s="4">
        <v>119</v>
      </c>
      <c r="K76" s="4">
        <v>119</v>
      </c>
      <c r="M76" s="4">
        <v>0</v>
      </c>
      <c r="N76" s="4">
        <v>149</v>
      </c>
      <c r="O76" s="4">
        <v>149</v>
      </c>
      <c r="Q76" s="29">
        <v>0</v>
      </c>
      <c r="R76" s="29">
        <v>1464.93</v>
      </c>
      <c r="S76" s="29">
        <v>1464.93</v>
      </c>
    </row>
    <row r="77" spans="1:19" x14ac:dyDescent="0.2">
      <c r="A77" s="20">
        <v>57</v>
      </c>
      <c r="B77" s="21" t="s">
        <v>76</v>
      </c>
      <c r="C77" s="3">
        <v>22</v>
      </c>
      <c r="D77" s="3">
        <v>0</v>
      </c>
      <c r="E77" s="3">
        <v>133</v>
      </c>
      <c r="F77" s="31">
        <f t="shared" si="2"/>
        <v>155</v>
      </c>
      <c r="H77" s="4">
        <v>63.14</v>
      </c>
      <c r="I77" s="4">
        <v>0</v>
      </c>
      <c r="J77" s="4">
        <v>59.99</v>
      </c>
      <c r="K77" s="4">
        <v>60.46</v>
      </c>
      <c r="M77" s="4">
        <v>225.90628000000001</v>
      </c>
      <c r="N77" s="4">
        <v>123.71502000000001</v>
      </c>
      <c r="O77" s="4">
        <v>179.92021</v>
      </c>
      <c r="Q77" s="29">
        <v>3659.32</v>
      </c>
      <c r="R77" s="29">
        <v>1975.77</v>
      </c>
      <c r="S77" s="29">
        <v>2901.72</v>
      </c>
    </row>
    <row r="78" spans="1:19" x14ac:dyDescent="0.2">
      <c r="A78" s="20">
        <v>58</v>
      </c>
      <c r="B78" s="21" t="s">
        <v>77</v>
      </c>
      <c r="C78" s="3">
        <v>0</v>
      </c>
      <c r="D78" s="3">
        <v>0</v>
      </c>
      <c r="E78" s="3">
        <v>24</v>
      </c>
      <c r="F78" s="31">
        <f t="shared" si="2"/>
        <v>24</v>
      </c>
      <c r="H78" s="4">
        <v>0</v>
      </c>
      <c r="I78" s="4">
        <v>0</v>
      </c>
      <c r="J78" s="4">
        <v>71.900000000000006</v>
      </c>
      <c r="K78" s="4">
        <v>71.900000000000006</v>
      </c>
      <c r="M78" s="4">
        <v>0</v>
      </c>
      <c r="N78" s="4">
        <v>0</v>
      </c>
      <c r="O78" s="4">
        <v>0</v>
      </c>
      <c r="Q78" s="29">
        <v>0</v>
      </c>
      <c r="R78" s="29">
        <v>0</v>
      </c>
      <c r="S78" s="29">
        <v>0</v>
      </c>
    </row>
    <row r="79" spans="1:19" x14ac:dyDescent="0.2">
      <c r="A79" s="20">
        <v>59</v>
      </c>
      <c r="B79" s="21" t="s">
        <v>78</v>
      </c>
      <c r="C79" s="3">
        <v>0</v>
      </c>
      <c r="D79" s="3">
        <v>9</v>
      </c>
      <c r="E79" s="3">
        <v>101</v>
      </c>
      <c r="F79" s="31">
        <f t="shared" si="2"/>
        <v>110</v>
      </c>
      <c r="H79" s="4">
        <v>0</v>
      </c>
      <c r="I79" s="4">
        <v>74.56</v>
      </c>
      <c r="J79" s="4">
        <v>68.78</v>
      </c>
      <c r="K79" s="4">
        <v>69.3</v>
      </c>
      <c r="M79" s="4">
        <v>0</v>
      </c>
      <c r="N79" s="4">
        <v>164.96575000000001</v>
      </c>
      <c r="O79" s="4">
        <v>164.96575000000001</v>
      </c>
      <c r="Q79" s="29">
        <v>0</v>
      </c>
      <c r="R79" s="29">
        <v>2371.73</v>
      </c>
      <c r="S79" s="29">
        <v>2371.73</v>
      </c>
    </row>
    <row r="80" spans="1:19" x14ac:dyDescent="0.2">
      <c r="A80" s="20">
        <v>60</v>
      </c>
      <c r="B80" s="21" t="s">
        <v>17</v>
      </c>
      <c r="C80" s="3">
        <v>16</v>
      </c>
      <c r="D80" s="3">
        <v>1</v>
      </c>
      <c r="E80" s="3">
        <v>417</v>
      </c>
      <c r="F80" s="31">
        <f t="shared" si="2"/>
        <v>434</v>
      </c>
      <c r="H80" s="4">
        <v>109</v>
      </c>
      <c r="I80" s="4">
        <v>114</v>
      </c>
      <c r="J80" s="4">
        <v>73.94</v>
      </c>
      <c r="K80" s="4">
        <v>75.53</v>
      </c>
      <c r="M80" s="4">
        <v>426.94774999999998</v>
      </c>
      <c r="N80" s="4">
        <v>314.82627000000002</v>
      </c>
      <c r="O80" s="4">
        <v>328.84145000000001</v>
      </c>
      <c r="Q80" s="29">
        <v>4016.26</v>
      </c>
      <c r="R80" s="29">
        <v>3883.74</v>
      </c>
      <c r="S80" s="29">
        <v>3900.3</v>
      </c>
    </row>
    <row r="81" spans="1:19" x14ac:dyDescent="0.2">
      <c r="A81" s="20">
        <v>61</v>
      </c>
      <c r="B81" s="21" t="s">
        <v>79</v>
      </c>
      <c r="C81" s="3">
        <v>2</v>
      </c>
      <c r="D81" s="3">
        <v>0</v>
      </c>
      <c r="E81" s="3">
        <v>199</v>
      </c>
      <c r="F81" s="31">
        <f t="shared" si="2"/>
        <v>201</v>
      </c>
      <c r="H81" s="4">
        <v>96</v>
      </c>
      <c r="I81" s="4">
        <v>0</v>
      </c>
      <c r="J81" s="4">
        <v>69.37</v>
      </c>
      <c r="K81" s="4">
        <v>69.66</v>
      </c>
      <c r="M81" s="4">
        <v>0</v>
      </c>
      <c r="N81" s="4">
        <v>260.82218</v>
      </c>
      <c r="O81" s="4">
        <v>261.63367999999997</v>
      </c>
      <c r="Q81" s="29">
        <v>0</v>
      </c>
      <c r="R81" s="29">
        <v>3826.89</v>
      </c>
      <c r="S81" s="29">
        <v>3814.03</v>
      </c>
    </row>
    <row r="82" spans="1:19" x14ac:dyDescent="0.2">
      <c r="A82" s="20">
        <v>62</v>
      </c>
      <c r="B82" s="22" t="s">
        <v>80</v>
      </c>
      <c r="C82" s="3">
        <v>5</v>
      </c>
      <c r="D82" s="3">
        <v>0</v>
      </c>
      <c r="E82" s="3">
        <v>109</v>
      </c>
      <c r="F82" s="31">
        <f t="shared" si="2"/>
        <v>114</v>
      </c>
      <c r="H82" s="4">
        <v>73.5</v>
      </c>
      <c r="I82" s="4">
        <v>0</v>
      </c>
      <c r="J82" s="4">
        <v>71.27</v>
      </c>
      <c r="K82" s="4">
        <v>71.349999999999994</v>
      </c>
      <c r="M82" s="4">
        <v>329.75024999999999</v>
      </c>
      <c r="N82" s="4">
        <v>248.15089</v>
      </c>
      <c r="O82" s="4">
        <v>255.09551999999999</v>
      </c>
      <c r="Q82" s="29">
        <v>3993.73</v>
      </c>
      <c r="R82" s="29">
        <v>3542.52</v>
      </c>
      <c r="S82" s="29">
        <v>3580.92</v>
      </c>
    </row>
    <row r="83" spans="1:19" x14ac:dyDescent="0.2">
      <c r="A83" s="20">
        <v>63</v>
      </c>
      <c r="B83" s="23" t="s">
        <v>81</v>
      </c>
      <c r="C83" s="3">
        <v>5</v>
      </c>
      <c r="D83" s="3">
        <v>0</v>
      </c>
      <c r="E83" s="3">
        <v>163</v>
      </c>
      <c r="F83" s="31">
        <f t="shared" si="2"/>
        <v>168</v>
      </c>
      <c r="H83" s="4">
        <v>80</v>
      </c>
      <c r="I83" s="4">
        <v>0</v>
      </c>
      <c r="J83" s="4">
        <v>76.34</v>
      </c>
      <c r="K83" s="4">
        <v>76.39</v>
      </c>
      <c r="M83" s="4">
        <v>428</v>
      </c>
      <c r="N83" s="4">
        <v>292.90876000000003</v>
      </c>
      <c r="O83" s="4">
        <v>295.36496</v>
      </c>
      <c r="Q83" s="29">
        <v>5350</v>
      </c>
      <c r="R83" s="29">
        <v>3701.84</v>
      </c>
      <c r="S83" s="29">
        <v>3731.81</v>
      </c>
    </row>
    <row r="84" spans="1:19" x14ac:dyDescent="0.2">
      <c r="A84" s="20">
        <v>64</v>
      </c>
      <c r="B84" s="23" t="s">
        <v>82</v>
      </c>
      <c r="C84" s="3">
        <v>3</v>
      </c>
      <c r="D84" s="3">
        <v>0</v>
      </c>
      <c r="E84" s="3">
        <v>335</v>
      </c>
      <c r="F84" s="31">
        <f t="shared" si="2"/>
        <v>338</v>
      </c>
      <c r="H84" s="4">
        <v>57.33</v>
      </c>
      <c r="I84" s="4">
        <v>0</v>
      </c>
      <c r="J84" s="4">
        <v>72.650000000000006</v>
      </c>
      <c r="K84" s="4">
        <v>72.5</v>
      </c>
      <c r="M84" s="4">
        <v>205.33332999999999</v>
      </c>
      <c r="N84" s="4">
        <v>283.5668</v>
      </c>
      <c r="O84" s="4">
        <v>282.77921000000003</v>
      </c>
      <c r="Q84" s="29">
        <v>4025.21</v>
      </c>
      <c r="R84" s="29">
        <v>4045.08</v>
      </c>
      <c r="S84" s="29">
        <v>4044.88</v>
      </c>
    </row>
    <row r="85" spans="1:19" x14ac:dyDescent="0.2">
      <c r="A85" s="20">
        <v>65</v>
      </c>
      <c r="B85" s="23" t="s">
        <v>83</v>
      </c>
      <c r="C85" s="3">
        <v>14</v>
      </c>
      <c r="D85" s="3">
        <v>0</v>
      </c>
      <c r="E85" s="3">
        <v>146</v>
      </c>
      <c r="F85" s="31">
        <f t="shared" ref="F85:F93" si="3">SUM(C85:E85)</f>
        <v>160</v>
      </c>
      <c r="H85" s="4">
        <v>59.93</v>
      </c>
      <c r="I85" s="4">
        <v>0</v>
      </c>
      <c r="J85" s="4">
        <v>71.73</v>
      </c>
      <c r="K85" s="4">
        <v>70.61</v>
      </c>
      <c r="M85" s="4">
        <v>278.74286000000001</v>
      </c>
      <c r="N85" s="4">
        <v>219.61357999999998</v>
      </c>
      <c r="O85" s="4">
        <v>230.80020000000002</v>
      </c>
      <c r="Q85" s="29">
        <v>4487.59</v>
      </c>
      <c r="R85" s="29">
        <v>3321.5</v>
      </c>
      <c r="S85" s="29">
        <v>3542.11</v>
      </c>
    </row>
    <row r="86" spans="1:19" x14ac:dyDescent="0.2">
      <c r="A86" s="20">
        <v>66</v>
      </c>
      <c r="B86" s="23" t="s">
        <v>84</v>
      </c>
      <c r="C86" s="3">
        <v>46</v>
      </c>
      <c r="D86" s="3">
        <v>1</v>
      </c>
      <c r="E86" s="3">
        <v>111</v>
      </c>
      <c r="F86" s="31">
        <f t="shared" si="3"/>
        <v>158</v>
      </c>
      <c r="H86" s="4">
        <v>89.11</v>
      </c>
      <c r="I86" s="4">
        <v>56</v>
      </c>
      <c r="J86" s="4">
        <v>76.78</v>
      </c>
      <c r="K86" s="4">
        <v>80.42</v>
      </c>
      <c r="M86" s="4">
        <v>571.14847999999995</v>
      </c>
      <c r="N86" s="4">
        <v>344.31004999999999</v>
      </c>
      <c r="O86" s="4">
        <v>417.27906000000002</v>
      </c>
      <c r="Q86" s="29">
        <v>6390.09</v>
      </c>
      <c r="R86" s="29">
        <v>4534.17</v>
      </c>
      <c r="S86" s="29">
        <v>5131.18</v>
      </c>
    </row>
    <row r="87" spans="1:19" x14ac:dyDescent="0.2">
      <c r="A87" s="20">
        <v>67</v>
      </c>
      <c r="B87" s="23" t="s">
        <v>85</v>
      </c>
      <c r="C87" s="3">
        <v>1</v>
      </c>
      <c r="D87" s="3">
        <v>0</v>
      </c>
      <c r="E87" s="3">
        <v>69</v>
      </c>
      <c r="F87" s="31">
        <f t="shared" si="3"/>
        <v>70</v>
      </c>
      <c r="H87" s="4">
        <v>110</v>
      </c>
      <c r="I87" s="4">
        <v>0</v>
      </c>
      <c r="J87" s="4">
        <v>87.25</v>
      </c>
      <c r="K87" s="4">
        <v>87.58</v>
      </c>
      <c r="M87" s="4">
        <v>0</v>
      </c>
      <c r="N87" s="4">
        <v>485.05261999999999</v>
      </c>
      <c r="O87" s="4">
        <v>488.81996999999996</v>
      </c>
      <c r="Q87" s="29">
        <v>0</v>
      </c>
      <c r="R87" s="29">
        <v>5729.8</v>
      </c>
      <c r="S87" s="29">
        <v>5744.91</v>
      </c>
    </row>
    <row r="88" spans="1:19" x14ac:dyDescent="0.2">
      <c r="A88" s="20">
        <v>68</v>
      </c>
      <c r="B88" s="23" t="s">
        <v>86</v>
      </c>
      <c r="C88" s="3">
        <v>75</v>
      </c>
      <c r="D88" s="3">
        <v>31</v>
      </c>
      <c r="E88" s="3">
        <v>259</v>
      </c>
      <c r="F88" s="31">
        <f t="shared" si="3"/>
        <v>365</v>
      </c>
      <c r="H88" s="4">
        <v>66.69</v>
      </c>
      <c r="I88" s="4">
        <v>57.71</v>
      </c>
      <c r="J88" s="4">
        <v>72.47</v>
      </c>
      <c r="K88" s="4">
        <v>70.09</v>
      </c>
      <c r="M88" s="4">
        <v>434.68463000000003</v>
      </c>
      <c r="N88" s="4">
        <v>364.00360999999998</v>
      </c>
      <c r="O88" s="4">
        <v>380.26249999999999</v>
      </c>
      <c r="Q88" s="29">
        <v>6586.42</v>
      </c>
      <c r="R88" s="29">
        <v>4996.55</v>
      </c>
      <c r="S88" s="29">
        <v>5362.27</v>
      </c>
    </row>
    <row r="89" spans="1:19" x14ac:dyDescent="0.2">
      <c r="A89" s="20">
        <v>69</v>
      </c>
      <c r="B89" s="23" t="s">
        <v>87</v>
      </c>
      <c r="C89" s="3">
        <v>21</v>
      </c>
      <c r="D89" s="3">
        <v>3</v>
      </c>
      <c r="E89" s="3">
        <v>110</v>
      </c>
      <c r="F89" s="31">
        <f t="shared" si="3"/>
        <v>134</v>
      </c>
      <c r="H89" s="4">
        <v>72.75</v>
      </c>
      <c r="I89" s="4">
        <v>68.67</v>
      </c>
      <c r="J89" s="4">
        <v>98.42</v>
      </c>
      <c r="K89" s="4">
        <v>93.56</v>
      </c>
      <c r="M89" s="4">
        <v>401.55</v>
      </c>
      <c r="N89" s="4">
        <v>607.50220999999999</v>
      </c>
      <c r="O89" s="4">
        <v>569.7128100000001</v>
      </c>
      <c r="Q89" s="29">
        <v>5551.69</v>
      </c>
      <c r="R89" s="29">
        <v>5910.4</v>
      </c>
      <c r="S89" s="29">
        <v>5844.58</v>
      </c>
    </row>
    <row r="90" spans="1:19" x14ac:dyDescent="0.2">
      <c r="A90" s="20">
        <v>70</v>
      </c>
      <c r="B90" s="23" t="s">
        <v>88</v>
      </c>
      <c r="C90" s="3">
        <v>24</v>
      </c>
      <c r="D90" s="3">
        <v>1</v>
      </c>
      <c r="E90" s="3">
        <v>253</v>
      </c>
      <c r="F90" s="31">
        <f t="shared" si="3"/>
        <v>278</v>
      </c>
      <c r="H90" s="4">
        <v>95.52</v>
      </c>
      <c r="I90" s="4">
        <v>76</v>
      </c>
      <c r="J90" s="4">
        <v>59.6</v>
      </c>
      <c r="K90" s="4">
        <v>63</v>
      </c>
      <c r="M90" s="4">
        <v>582.82515000000001</v>
      </c>
      <c r="N90" s="4">
        <v>156.01021</v>
      </c>
      <c r="O90" s="4">
        <v>200.03148000000002</v>
      </c>
      <c r="Q90" s="29">
        <v>4468.5200000000004</v>
      </c>
      <c r="R90" s="29">
        <v>2341.69</v>
      </c>
      <c r="S90" s="29">
        <v>2561.0500000000002</v>
      </c>
    </row>
    <row r="91" spans="1:19" x14ac:dyDescent="0.2">
      <c r="A91" s="20">
        <v>71</v>
      </c>
      <c r="B91" s="23" t="s">
        <v>89</v>
      </c>
      <c r="C91" s="3">
        <v>24</v>
      </c>
      <c r="D91" s="3">
        <v>12</v>
      </c>
      <c r="E91" s="3">
        <v>108</v>
      </c>
      <c r="F91" s="31">
        <f t="shared" si="3"/>
        <v>144</v>
      </c>
      <c r="H91" s="4">
        <v>74.61</v>
      </c>
      <c r="I91" s="4">
        <v>72.91</v>
      </c>
      <c r="J91" s="4">
        <v>82.76</v>
      </c>
      <c r="K91" s="4">
        <v>80.55</v>
      </c>
      <c r="M91" s="4">
        <v>295.28188</v>
      </c>
      <c r="N91" s="4">
        <v>421.37486000000001</v>
      </c>
      <c r="O91" s="4">
        <v>393.48890999999998</v>
      </c>
      <c r="Q91" s="29">
        <v>3687.22</v>
      </c>
      <c r="R91" s="29">
        <v>4809.8900000000003</v>
      </c>
      <c r="S91" s="29">
        <v>4561.6099999999997</v>
      </c>
    </row>
    <row r="92" spans="1:19" x14ac:dyDescent="0.2">
      <c r="A92" s="20">
        <v>72</v>
      </c>
      <c r="B92" s="23" t="s">
        <v>90</v>
      </c>
      <c r="C92" s="3">
        <v>1</v>
      </c>
      <c r="D92" s="3">
        <v>0</v>
      </c>
      <c r="E92" s="3">
        <v>216</v>
      </c>
      <c r="F92" s="31">
        <f t="shared" si="3"/>
        <v>217</v>
      </c>
      <c r="H92" s="4">
        <v>42</v>
      </c>
      <c r="I92" s="4">
        <v>0</v>
      </c>
      <c r="J92" s="4">
        <v>70.23</v>
      </c>
      <c r="K92" s="4">
        <v>70.09</v>
      </c>
      <c r="M92" s="4">
        <v>0</v>
      </c>
      <c r="N92" s="4">
        <v>212.76599999999999</v>
      </c>
      <c r="O92" s="4">
        <v>212.00592</v>
      </c>
      <c r="Q92" s="29">
        <v>0</v>
      </c>
      <c r="R92" s="29">
        <v>3038.37</v>
      </c>
      <c r="S92" s="29">
        <v>3046.95</v>
      </c>
    </row>
    <row r="93" spans="1:19" x14ac:dyDescent="0.2">
      <c r="A93" s="20">
        <v>73</v>
      </c>
      <c r="B93" s="24" t="s">
        <v>91</v>
      </c>
      <c r="C93" s="25">
        <v>4</v>
      </c>
      <c r="D93" s="25">
        <v>1</v>
      </c>
      <c r="E93" s="25">
        <v>218</v>
      </c>
      <c r="F93" s="30">
        <f t="shared" si="3"/>
        <v>223</v>
      </c>
      <c r="G93" s="26"/>
      <c r="H93" s="27">
        <v>63.5</v>
      </c>
      <c r="I93" s="27">
        <v>85</v>
      </c>
      <c r="J93" s="27">
        <v>71.47</v>
      </c>
      <c r="K93" s="27">
        <v>71.37</v>
      </c>
      <c r="L93" s="27"/>
      <c r="M93" s="27">
        <v>203.125</v>
      </c>
      <c r="N93" s="27">
        <v>165.59564</v>
      </c>
      <c r="O93" s="27">
        <v>166.99860999999999</v>
      </c>
      <c r="P93" s="27"/>
      <c r="Q93" s="35">
        <v>3214.75</v>
      </c>
      <c r="R93" s="35">
        <v>2361.7800000000002</v>
      </c>
      <c r="S93" s="35">
        <v>2393.67</v>
      </c>
    </row>
    <row r="95" spans="1:19" x14ac:dyDescent="0.2">
      <c r="B95" s="28" t="s">
        <v>95</v>
      </c>
    </row>
  </sheetData>
  <phoneticPr fontId="1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4t24acum_1any</vt:lpstr>
      <vt:lpstr>3t24acum_1any</vt:lpstr>
      <vt:lpstr>2t24acum_1any</vt:lpstr>
      <vt:lpstr>1t24acum_1any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Casals Font, Maria Lluïsa</cp:lastModifiedBy>
  <dcterms:created xsi:type="dcterms:W3CDTF">2015-06-12T12:06:25Z</dcterms:created>
  <dcterms:modified xsi:type="dcterms:W3CDTF">2025-02-13T15:41:43Z</dcterms:modified>
</cp:coreProperties>
</file>