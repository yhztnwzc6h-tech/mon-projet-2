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21_WEB\WEB estadístiques\Compravendes\2024\"/>
    </mc:Choice>
  </mc:AlternateContent>
  <xr:revisionPtr revIDLastSave="0" documentId="13_ncr:1_{DF388694-A8C9-40F8-8BF3-AF476379C2E7}" xr6:coauthVersionLast="47" xr6:coauthVersionMax="47" xr10:uidLastSave="{00000000-0000-0000-0000-000000000000}"/>
  <bookViews>
    <workbookView xWindow="-28920" yWindow="1620" windowWidth="29040" windowHeight="15840" xr2:uid="{00000000-000D-0000-FFFF-FFFF00000000}"/>
  </bookViews>
  <sheets>
    <sheet name="4t24acum_1any" sheetId="4" r:id="rId1"/>
    <sheet name="3t24acum_1any" sheetId="3" r:id="rId2"/>
    <sheet name="2t24acum_1any" sheetId="2" r:id="rId3"/>
    <sheet name="1t24acum_1any" sheetId="1" r:id="rId4"/>
  </sheets>
  <definedNames>
    <definedName name="_xlnm._FilterDatabase" localSheetId="2" hidden="1">'2t24acum_1any'!$A$8:$R$51</definedName>
    <definedName name="_xlnm._FilterDatabase" localSheetId="1" hidden="1">'3t24acum_1any'!$A$8:$R$51</definedName>
    <definedName name="_xlnm._FilterDatabase" localSheetId="0" hidden="1">'4t24acum_1any'!$A$8:$R$51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4" l="1"/>
  <c r="C69" i="4"/>
  <c r="B69" i="4"/>
  <c r="E67" i="4"/>
  <c r="E66" i="4"/>
  <c r="E65" i="4"/>
  <c r="E64" i="4"/>
  <c r="E69" i="4" s="1"/>
  <c r="E61" i="4"/>
  <c r="E60" i="4"/>
  <c r="E59" i="4"/>
  <c r="E58" i="4"/>
  <c r="E57" i="4"/>
  <c r="E56" i="4"/>
  <c r="E55" i="4"/>
  <c r="E54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6" i="4"/>
  <c r="E69" i="3"/>
  <c r="D69" i="3"/>
  <c r="C69" i="3"/>
  <c r="B69" i="3"/>
  <c r="E67" i="3"/>
  <c r="E66" i="3"/>
  <c r="E65" i="3"/>
  <c r="E64" i="3"/>
  <c r="E61" i="3"/>
  <c r="E60" i="3"/>
  <c r="E59" i="3"/>
  <c r="E58" i="3"/>
  <c r="E57" i="3"/>
  <c r="E56" i="3"/>
  <c r="E55" i="3"/>
  <c r="E54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6" i="3"/>
  <c r="D69" i="2" l="1"/>
  <c r="C69" i="2"/>
  <c r="B69" i="2"/>
  <c r="E67" i="2"/>
  <c r="E66" i="2"/>
  <c r="E65" i="2"/>
  <c r="E64" i="2"/>
  <c r="E69" i="2" s="1"/>
  <c r="E61" i="2"/>
  <c r="E60" i="2"/>
  <c r="E59" i="2"/>
  <c r="E58" i="2"/>
  <c r="E57" i="2"/>
  <c r="E56" i="2"/>
  <c r="E55" i="2"/>
  <c r="E54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6" i="2"/>
  <c r="D69" i="1"/>
  <c r="C69" i="1"/>
  <c r="B69" i="1"/>
  <c r="E67" i="1"/>
  <c r="E66" i="1"/>
  <c r="E65" i="1"/>
  <c r="E64" i="1"/>
  <c r="E69" i="1" s="1"/>
  <c r="E61" i="1"/>
  <c r="E60" i="1"/>
  <c r="E59" i="1"/>
  <c r="E58" i="1"/>
  <c r="E57" i="1"/>
  <c r="E56" i="1"/>
  <c r="E55" i="1"/>
  <c r="E54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6" i="1"/>
</calcChain>
</file>

<file path=xl/sharedStrings.xml><?xml version="1.0" encoding="utf-8"?>
<sst xmlns="http://schemas.openxmlformats.org/spreadsheetml/2006/main" count="336" uniqueCount="78">
  <si>
    <t>Compravendes d'habitatge registrades a Catalunya per àmbits territorials</t>
  </si>
  <si>
    <t>Nre. Compravendes</t>
  </si>
  <si>
    <t>Habitatges nous lliures</t>
  </si>
  <si>
    <t>Hab. nous protegits</t>
  </si>
  <si>
    <t>Habitatge usat</t>
  </si>
  <si>
    <t>Total</t>
  </si>
  <si>
    <t>Habitatge nou</t>
  </si>
  <si>
    <t>Àrea metropolitana de Barcelona*</t>
  </si>
  <si>
    <t>Comarques</t>
  </si>
  <si>
    <t>Alt Camp</t>
  </si>
  <si>
    <t>Alt Empordà</t>
  </si>
  <si>
    <t>Alt Penedès</t>
  </si>
  <si>
    <t>Alt Urgell</t>
  </si>
  <si>
    <t>Alta Ribagorça</t>
  </si>
  <si>
    <t>Anoia</t>
  </si>
  <si>
    <t>Bages</t>
  </si>
  <si>
    <t>Baix Camp</t>
  </si>
  <si>
    <t>Baix Ebre</t>
  </si>
  <si>
    <t>Baix Empordà</t>
  </si>
  <si>
    <t>Baix Llobregat</t>
  </si>
  <si>
    <t>Baix Penedès</t>
  </si>
  <si>
    <t>Barcelonès</t>
  </si>
  <si>
    <t>Berguedà</t>
  </si>
  <si>
    <t>Cerdanya</t>
  </si>
  <si>
    <t>Conca de Barberà</t>
  </si>
  <si>
    <t>Garraf</t>
  </si>
  <si>
    <t>Garrigues</t>
  </si>
  <si>
    <t>Garrotxa</t>
  </si>
  <si>
    <t>Gironès</t>
  </si>
  <si>
    <t>Maresme</t>
  </si>
  <si>
    <t>Montsià</t>
  </si>
  <si>
    <t>Noguera</t>
  </si>
  <si>
    <t>Osona</t>
  </si>
  <si>
    <t>Pallars Jussà</t>
  </si>
  <si>
    <t>Pallars Sobirà</t>
  </si>
  <si>
    <t>Pla de l'Estany</t>
  </si>
  <si>
    <t>Pla d'Urgell</t>
  </si>
  <si>
    <t>Priorat</t>
  </si>
  <si>
    <t>Ribera d'Ebre</t>
  </si>
  <si>
    <t>Ripollès</t>
  </si>
  <si>
    <t>Segarra</t>
  </si>
  <si>
    <t>Segrià</t>
  </si>
  <si>
    <t>Selva</t>
  </si>
  <si>
    <t>Solsonès</t>
  </si>
  <si>
    <t>Tarragonès</t>
  </si>
  <si>
    <t>Terra Alta</t>
  </si>
  <si>
    <t>Urgell</t>
  </si>
  <si>
    <t>Val d'Aran</t>
  </si>
  <si>
    <t>Vallès Occidental</t>
  </si>
  <si>
    <t>Vallès Oriental</t>
  </si>
  <si>
    <t>Àmbits territorials funcionals</t>
  </si>
  <si>
    <t>Alt Pirineu i Aran</t>
  </si>
  <si>
    <t>Camp de Tarragona</t>
  </si>
  <si>
    <t>Comarques centrals</t>
  </si>
  <si>
    <t>Comarques gironines</t>
  </si>
  <si>
    <t>Metropolità</t>
  </si>
  <si>
    <t>Penedès</t>
  </si>
  <si>
    <t>Ponent</t>
  </si>
  <si>
    <t>Terres de l'Ebre</t>
  </si>
  <si>
    <t>Demarcacions territorials</t>
  </si>
  <si>
    <t>Barcelona</t>
  </si>
  <si>
    <t>Girona</t>
  </si>
  <si>
    <t>Lleida</t>
  </si>
  <si>
    <t>Tarragona</t>
  </si>
  <si>
    <t>Catalunya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</si>
  <si>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</si>
  <si>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</si>
  <si>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</si>
  <si>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Moianès</t>
  </si>
  <si>
    <t>Sant Just Desvern; Sant Vicenç dels Horts; Santa Coloma de Cervelló; Santa Coloma de Gramenet; Tiana; Torrelles de Llobregat i Viladecans.</t>
  </si>
  <si>
    <t>Molins de Rei; Montcada i Reixac; Montgat; Pallejà; la Palma de Cervelló; el Papiol; el Prat de Llobregat; Ripollet; Sant Adrià de Besòs; Sant Andreu de la Barca; Sant Boi de Llobregat; Sant Climent de Llobregat; Sant Cugat del Vallès; Sant Feliu de Llobregat; Sant Joan Despí;</t>
  </si>
  <si>
    <r>
      <t>*Municipis de l'Àrea metropolitana de Barcelona</t>
    </r>
    <r>
      <rPr>
        <sz val="8"/>
        <rFont val="Arial"/>
        <family val="2"/>
      </rPr>
      <t>: Badalona; Badia del Vallès; Barberà del Vallès; Begues; Castellbisbal; Castelldefels; Cerdanyola del Vallès; Cervelló; Corbera de Llobregat; Cornellà de Llobregat; Esplugues de Llobregat; Gavà; l'Hospitalet de Llobregat;</t>
    </r>
  </si>
  <si>
    <t>Lluçanès</t>
  </si>
  <si>
    <t>NOTA: no es publica la informació de preus dels àmbits on hi ha menys de tres contractes registrats.</t>
  </si>
  <si>
    <r>
      <t>Període</t>
    </r>
    <r>
      <rPr>
        <b/>
        <sz val="10"/>
        <rFont val="Arial"/>
        <family val="2"/>
      </rPr>
      <t>: abril 2023 - març 2024</t>
    </r>
  </si>
  <si>
    <r>
      <t>Període</t>
    </r>
    <r>
      <rPr>
        <b/>
        <sz val="10"/>
        <rFont val="Arial"/>
        <family val="2"/>
      </rPr>
      <t>: juliol 2023 - juny 2024</t>
    </r>
  </si>
  <si>
    <r>
      <t>Període</t>
    </r>
    <r>
      <rPr>
        <b/>
        <sz val="10"/>
        <rFont val="Arial"/>
        <family val="2"/>
      </rPr>
      <t>: octubre 2023 - setembre 2024</t>
    </r>
  </si>
  <si>
    <r>
      <t>Període</t>
    </r>
    <r>
      <rPr>
        <b/>
        <sz val="10"/>
        <rFont val="Arial"/>
        <family val="2"/>
      </rPr>
      <t>: Any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</si>
</sst>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\-"/>
    <numFmt numFmtId="165" formatCode="#,##0.0;;\-"/>
    <numFmt numFmtId="166" formatCode="#,##0.00;;\-"/>
  </numFmts>
  <fonts count="12" x14ac:knownFonts="1">
    <font>
      <sz val="10"/>
      <name val="Arial"/>
    </font>
    <font>
      <sz val="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b/>
      <sz val="8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6">
    <xf numFmtId="0" fontId="0" fillId="0" borderId="0" xfId="0"/>
    <xf numFmtId="3" fontId="3" fillId="0" borderId="0" xfId="0" applyNumberFormat="1" applyFont="1"/>
    <xf numFmtId="3" fontId="6" fillId="0" borderId="1" xfId="0" applyNumberFormat="1" applyFont="1" applyBorder="1" applyAlignment="1">
      <alignment horizontal="centerContinuous"/>
    </xf>
    <xf numFmtId="3" fontId="3" fillId="0" borderId="1" xfId="0" applyNumberFormat="1" applyFont="1" applyBorder="1" applyAlignment="1">
      <alignment horizontal="centerContinuous"/>
    </xf>
    <xf numFmtId="3" fontId="6" fillId="0" borderId="1" xfId="0" applyNumberFormat="1" applyFont="1" applyBorder="1" applyAlignment="1">
      <alignment horizontal="right" wrapText="1"/>
    </xf>
    <xf numFmtId="3" fontId="3" fillId="0" borderId="1" xfId="0" applyNumberFormat="1" applyFont="1" applyBorder="1" applyAlignment="1">
      <alignment wrapText="1"/>
    </xf>
    <xf numFmtId="3" fontId="3" fillId="0" borderId="0" xfId="0" applyNumberFormat="1" applyFont="1" applyAlignment="1">
      <alignment wrapText="1"/>
    </xf>
    <xf numFmtId="165" fontId="3" fillId="0" borderId="0" xfId="0" applyNumberFormat="1" applyFont="1"/>
    <xf numFmtId="3" fontId="3" fillId="0" borderId="0" xfId="0" applyNumberFormat="1" applyFont="1" applyFill="1"/>
    <xf numFmtId="3" fontId="6" fillId="0" borderId="1" xfId="0" applyNumberFormat="1" applyFont="1" applyBorder="1"/>
    <xf numFmtId="165" fontId="6" fillId="0" borderId="1" xfId="0" applyNumberFormat="1" applyFont="1" applyBorder="1"/>
    <xf numFmtId="3" fontId="9" fillId="0" borderId="0" xfId="0" applyNumberFormat="1" applyFont="1"/>
    <xf numFmtId="3" fontId="1" fillId="0" borderId="0" xfId="0" applyNumberFormat="1" applyFont="1"/>
    <xf numFmtId="165" fontId="6" fillId="0" borderId="1" xfId="0" applyNumberFormat="1" applyFont="1" applyBorder="1" applyAlignment="1">
      <alignment horizontal="centerContinuous"/>
    </xf>
    <xf numFmtId="3" fontId="6" fillId="0" borderId="1" xfId="0" applyNumberFormat="1" applyFont="1" applyFill="1" applyBorder="1" applyAlignment="1">
      <alignment horizontal="centerContinuous"/>
    </xf>
    <xf numFmtId="3" fontId="3" fillId="0" borderId="1" xfId="0" applyNumberFormat="1" applyFont="1" applyFill="1" applyBorder="1" applyAlignment="1">
      <alignment horizontal="centerContinuous"/>
    </xf>
    <xf numFmtId="3" fontId="6" fillId="0" borderId="1" xfId="0" applyNumberFormat="1" applyFont="1" applyFill="1" applyBorder="1" applyAlignment="1">
      <alignment wrapText="1"/>
    </xf>
    <xf numFmtId="3" fontId="6" fillId="0" borderId="1" xfId="0" applyNumberFormat="1" applyFont="1" applyFill="1" applyBorder="1" applyAlignment="1">
      <alignment horizontal="right" wrapText="1"/>
    </xf>
    <xf numFmtId="164" fontId="6" fillId="0" borderId="0" xfId="0" applyNumberFormat="1" applyFont="1" applyFill="1"/>
    <xf numFmtId="164" fontId="3" fillId="0" borderId="0" xfId="0" applyNumberFormat="1" applyFont="1" applyFill="1"/>
    <xf numFmtId="164" fontId="8" fillId="0" borderId="0" xfId="0" applyNumberFormat="1" applyFont="1" applyFill="1"/>
    <xf numFmtId="164" fontId="6" fillId="0" borderId="1" xfId="0" applyNumberFormat="1" applyFont="1" applyFill="1" applyBorder="1"/>
    <xf numFmtId="166" fontId="3" fillId="0" borderId="0" xfId="0" applyNumberFormat="1" applyFont="1"/>
    <xf numFmtId="3" fontId="2" fillId="0" borderId="0" xfId="0" applyNumberFormat="1" applyFont="1" applyFill="1"/>
    <xf numFmtId="3" fontId="5" fillId="0" borderId="0" xfId="0" applyNumberFormat="1" applyFont="1" applyFill="1"/>
    <xf numFmtId="0" fontId="3" fillId="0" borderId="0" xfId="0" applyFont="1" applyFill="1" applyAlignment="1">
      <alignment vertical="center"/>
    </xf>
    <xf numFmtId="164" fontId="3" fillId="0" borderId="0" xfId="0" applyNumberFormat="1" applyFont="1"/>
    <xf numFmtId="164" fontId="6" fillId="0" borderId="1" xfId="0" applyNumberFormat="1" applyFont="1" applyBorder="1"/>
    <xf numFmtId="166" fontId="6" fillId="0" borderId="1" xfId="0" applyNumberFormat="1" applyFont="1" applyBorder="1"/>
    <xf numFmtId="3" fontId="2" fillId="0" borderId="0" xfId="0" applyNumberFormat="1" applyFont="1"/>
    <xf numFmtId="3" fontId="5" fillId="0" borderId="0" xfId="0" applyNumberFormat="1" applyFont="1"/>
    <xf numFmtId="3" fontId="6" fillId="0" borderId="1" xfId="0" applyNumberFormat="1" applyFont="1" applyBorder="1" applyAlignment="1">
      <alignment wrapText="1"/>
    </xf>
    <xf numFmtId="164" fontId="6" fillId="0" borderId="0" xfId="0" applyNumberFormat="1" applyFont="1"/>
    <xf numFmtId="164" fontId="8" fillId="0" borderId="0" xfId="0" applyNumberFormat="1" applyFont="1"/>
    <xf numFmtId="165" fontId="3" fillId="0" borderId="0" xfId="0" applyNumberFormat="1" applyFont="1" applyFill="1"/>
    <xf numFmtId="166" fontId="3" fillId="0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36A6-D848-466E-9DFE-A7912ACB7601}">
  <sheetPr>
    <pageSetUpPr fitToPage="1"/>
  </sheetPr>
  <dimension ref="A1:R73"/>
  <sheetViews>
    <sheetView tabSelected="1" workbookViewId="0"/>
  </sheetViews>
  <sheetFormatPr defaultColWidth="11.453125" defaultRowHeight="11.5" x14ac:dyDescent="0.25"/>
  <cols>
    <col min="1" max="1" width="35.7265625" style="1" customWidth="1"/>
    <col min="2" max="5" width="10.7265625" style="1" customWidth="1"/>
    <col min="6" max="6" width="2.7265625" style="1" customWidth="1"/>
    <col min="7" max="10" width="10.7265625" style="1" customWidth="1"/>
    <col min="11" max="11" width="2.7265625" style="1" customWidth="1"/>
    <col min="12" max="14" width="10.7265625" style="1" customWidth="1"/>
    <col min="15" max="15" width="2.7265625" style="1" customWidth="1"/>
    <col min="16" max="18" width="10.7265625" style="1" customWidth="1"/>
    <col min="19" max="16384" width="11.453125" style="1"/>
  </cols>
  <sheetData>
    <row r="1" spans="1:18" ht="14" x14ac:dyDescent="0.3">
      <c r="A1" s="29" t="s">
        <v>0</v>
      </c>
    </row>
    <row r="2" spans="1:18" ht="13" x14ac:dyDescent="0.3">
      <c r="A2" s="30" t="s">
        <v>77</v>
      </c>
    </row>
    <row r="3" spans="1:18" x14ac:dyDescent="0.25">
      <c r="A3" s="25" t="s">
        <v>73</v>
      </c>
    </row>
    <row r="4" spans="1:18" ht="13.5" x14ac:dyDescent="0.25">
      <c r="B4" s="2" t="s">
        <v>1</v>
      </c>
      <c r="C4" s="3"/>
      <c r="D4" s="3"/>
      <c r="E4" s="3"/>
      <c r="G4" s="13" t="s">
        <v>67</v>
      </c>
      <c r="H4" s="3"/>
      <c r="I4" s="3"/>
      <c r="J4" s="3"/>
      <c r="L4" s="2" t="s">
        <v>65</v>
      </c>
      <c r="M4" s="2"/>
      <c r="N4" s="2"/>
      <c r="P4" s="2" t="s">
        <v>66</v>
      </c>
      <c r="Q4" s="2"/>
      <c r="R4" s="2"/>
    </row>
    <row r="5" spans="1:18" s="6" customFormat="1" ht="23" x14ac:dyDescent="0.25">
      <c r="A5" s="31"/>
      <c r="B5" s="4" t="s">
        <v>2</v>
      </c>
      <c r="C5" s="4" t="s">
        <v>3</v>
      </c>
      <c r="D5" s="4" t="s">
        <v>4</v>
      </c>
      <c r="E5" s="4" t="s">
        <v>5</v>
      </c>
      <c r="F5" s="5"/>
      <c r="G5" s="4" t="s">
        <v>2</v>
      </c>
      <c r="H5" s="4" t="s">
        <v>3</v>
      </c>
      <c r="I5" s="4" t="s">
        <v>4</v>
      </c>
      <c r="J5" s="4" t="s">
        <v>5</v>
      </c>
      <c r="K5" s="5"/>
      <c r="L5" s="4" t="s">
        <v>6</v>
      </c>
      <c r="M5" s="4" t="s">
        <v>4</v>
      </c>
      <c r="N5" s="4" t="s">
        <v>5</v>
      </c>
      <c r="O5" s="5"/>
      <c r="P5" s="4" t="s">
        <v>6</v>
      </c>
      <c r="Q5" s="4" t="s">
        <v>4</v>
      </c>
      <c r="R5" s="4" t="s">
        <v>5</v>
      </c>
    </row>
    <row r="6" spans="1:18" x14ac:dyDescent="0.25">
      <c r="A6" s="32" t="s">
        <v>7</v>
      </c>
      <c r="B6" s="26">
        <v>3127</v>
      </c>
      <c r="C6" s="26">
        <v>275</v>
      </c>
      <c r="D6" s="26">
        <v>14348</v>
      </c>
      <c r="E6" s="26">
        <f>SUM(B6:D6)</f>
        <v>17750</v>
      </c>
      <c r="G6" s="7">
        <v>90.86</v>
      </c>
      <c r="H6" s="7">
        <v>72.48</v>
      </c>
      <c r="I6" s="7">
        <v>80.19</v>
      </c>
      <c r="J6" s="7">
        <v>81.91</v>
      </c>
      <c r="L6" s="7">
        <v>315.14251000000002</v>
      </c>
      <c r="M6" s="7">
        <v>227.06877</v>
      </c>
      <c r="N6" s="7">
        <v>243.7064</v>
      </c>
      <c r="P6" s="22">
        <v>3491.33</v>
      </c>
      <c r="Q6" s="22">
        <v>2830.1</v>
      </c>
      <c r="R6" s="22">
        <v>2955.01</v>
      </c>
    </row>
    <row r="7" spans="1:18" x14ac:dyDescent="0.25">
      <c r="A7" s="26"/>
      <c r="B7" s="26"/>
      <c r="C7" s="26"/>
      <c r="D7" s="26"/>
      <c r="E7" s="26"/>
      <c r="G7" s="7"/>
      <c r="H7" s="7"/>
      <c r="I7" s="7"/>
      <c r="J7" s="7"/>
      <c r="L7" s="7"/>
      <c r="M7" s="7"/>
      <c r="N7" s="7"/>
      <c r="P7" s="22"/>
      <c r="Q7" s="22"/>
      <c r="R7" s="22"/>
    </row>
    <row r="8" spans="1:18" x14ac:dyDescent="0.25">
      <c r="A8" s="33" t="s">
        <v>8</v>
      </c>
      <c r="B8" s="26"/>
      <c r="C8" s="26"/>
      <c r="D8" s="26"/>
      <c r="E8" s="26"/>
      <c r="G8" s="7"/>
      <c r="H8" s="7"/>
      <c r="I8" s="7"/>
      <c r="J8" s="7"/>
      <c r="L8" s="7"/>
      <c r="M8" s="7"/>
      <c r="N8" s="7"/>
      <c r="P8" s="22"/>
      <c r="Q8" s="22"/>
      <c r="R8" s="22"/>
    </row>
    <row r="9" spans="1:18" x14ac:dyDescent="0.25">
      <c r="A9" s="26" t="s">
        <v>9</v>
      </c>
      <c r="B9" s="26">
        <v>21</v>
      </c>
      <c r="C9" s="26">
        <v>0</v>
      </c>
      <c r="D9" s="26">
        <v>407</v>
      </c>
      <c r="E9" s="26">
        <f t="shared" ref="E9:E67" si="0">SUM(B9:D9)</f>
        <v>428</v>
      </c>
      <c r="G9" s="7">
        <v>108.58</v>
      </c>
      <c r="H9" s="7">
        <v>0</v>
      </c>
      <c r="I9" s="7">
        <v>105.53</v>
      </c>
      <c r="J9" s="7">
        <v>105.68</v>
      </c>
      <c r="L9" s="7">
        <v>115.27292999999999</v>
      </c>
      <c r="M9" s="7">
        <v>105.61426</v>
      </c>
      <c r="N9" s="7">
        <v>106.0972</v>
      </c>
      <c r="P9" s="22">
        <v>1082.5999999999999</v>
      </c>
      <c r="Q9" s="22">
        <v>1113.8399999999999</v>
      </c>
      <c r="R9" s="22">
        <v>1112.28</v>
      </c>
    </row>
    <row r="10" spans="1:18" x14ac:dyDescent="0.25">
      <c r="A10" s="26" t="s">
        <v>10</v>
      </c>
      <c r="B10" s="26">
        <v>283</v>
      </c>
      <c r="C10" s="26">
        <v>12</v>
      </c>
      <c r="D10" s="26">
        <v>3137</v>
      </c>
      <c r="E10" s="26">
        <f t="shared" si="0"/>
        <v>3432</v>
      </c>
      <c r="G10" s="7">
        <v>120.56</v>
      </c>
      <c r="H10" s="7">
        <v>119</v>
      </c>
      <c r="I10" s="7">
        <v>93.24</v>
      </c>
      <c r="J10" s="7">
        <v>95.68</v>
      </c>
      <c r="L10" s="7">
        <v>225.46625</v>
      </c>
      <c r="M10" s="7">
        <v>205.20898</v>
      </c>
      <c r="N10" s="7">
        <v>206.99638000000002</v>
      </c>
      <c r="P10" s="22">
        <v>1878.5</v>
      </c>
      <c r="Q10" s="22">
        <v>2446.6999999999998</v>
      </c>
      <c r="R10" s="22">
        <v>2396.56</v>
      </c>
    </row>
    <row r="11" spans="1:18" x14ac:dyDescent="0.25">
      <c r="A11" s="26" t="s">
        <v>11</v>
      </c>
      <c r="B11" s="26">
        <v>392</v>
      </c>
      <c r="C11" s="26">
        <v>7</v>
      </c>
      <c r="D11" s="26">
        <v>928</v>
      </c>
      <c r="E11" s="26">
        <f t="shared" si="0"/>
        <v>1327</v>
      </c>
      <c r="G11" s="7">
        <v>110.42</v>
      </c>
      <c r="H11" s="7">
        <v>89.14</v>
      </c>
      <c r="I11" s="7">
        <v>113</v>
      </c>
      <c r="J11" s="7">
        <v>112.08</v>
      </c>
      <c r="L11" s="7">
        <v>175.20779999999999</v>
      </c>
      <c r="M11" s="7">
        <v>155.62678</v>
      </c>
      <c r="N11" s="7">
        <v>161.88516000000001</v>
      </c>
      <c r="P11" s="22">
        <v>1742.76</v>
      </c>
      <c r="Q11" s="22">
        <v>1508.14</v>
      </c>
      <c r="R11" s="22">
        <v>1583.12</v>
      </c>
    </row>
    <row r="12" spans="1:18" x14ac:dyDescent="0.25">
      <c r="A12" s="26" t="s">
        <v>12</v>
      </c>
      <c r="B12" s="26">
        <v>62</v>
      </c>
      <c r="C12" s="26">
        <v>1</v>
      </c>
      <c r="D12" s="26">
        <v>147</v>
      </c>
      <c r="E12" s="26">
        <f t="shared" si="0"/>
        <v>210</v>
      </c>
      <c r="G12" s="7">
        <v>108.03</v>
      </c>
      <c r="H12" s="7">
        <v>92</v>
      </c>
      <c r="I12" s="7">
        <v>111.35</v>
      </c>
      <c r="J12" s="7">
        <v>110.66</v>
      </c>
      <c r="L12" s="7">
        <v>152.88254999999998</v>
      </c>
      <c r="M12" s="7">
        <v>148.77645999999999</v>
      </c>
      <c r="N12" s="7">
        <v>149.52537000000001</v>
      </c>
      <c r="P12" s="22">
        <v>1288.54</v>
      </c>
      <c r="Q12" s="22">
        <v>1431.44</v>
      </c>
      <c r="R12" s="22">
        <v>1405.38</v>
      </c>
    </row>
    <row r="13" spans="1:18" x14ac:dyDescent="0.25">
      <c r="A13" s="26" t="s">
        <v>13</v>
      </c>
      <c r="B13" s="26">
        <v>1</v>
      </c>
      <c r="C13" s="26">
        <v>0</v>
      </c>
      <c r="D13" s="26">
        <v>103</v>
      </c>
      <c r="E13" s="26">
        <f t="shared" si="0"/>
        <v>104</v>
      </c>
      <c r="G13" s="7">
        <v>0</v>
      </c>
      <c r="H13" s="7">
        <v>0</v>
      </c>
      <c r="I13" s="7">
        <v>71.709999999999994</v>
      </c>
      <c r="J13" s="7">
        <v>71.709999999999994</v>
      </c>
      <c r="L13" s="7">
        <v>0</v>
      </c>
      <c r="M13" s="7">
        <v>94.58981</v>
      </c>
      <c r="N13" s="7">
        <v>94.58981</v>
      </c>
      <c r="P13" s="22">
        <v>0</v>
      </c>
      <c r="Q13" s="22">
        <v>1518.97</v>
      </c>
      <c r="R13" s="22">
        <v>1518.97</v>
      </c>
    </row>
    <row r="14" spans="1:18" x14ac:dyDescent="0.25">
      <c r="A14" s="26" t="s">
        <v>14</v>
      </c>
      <c r="B14" s="26">
        <v>232</v>
      </c>
      <c r="C14" s="26">
        <v>2</v>
      </c>
      <c r="D14" s="26">
        <v>1297</v>
      </c>
      <c r="E14" s="26">
        <f t="shared" si="0"/>
        <v>1531</v>
      </c>
      <c r="G14" s="7">
        <v>101.67</v>
      </c>
      <c r="H14" s="7">
        <v>90</v>
      </c>
      <c r="I14" s="7">
        <v>111.5</v>
      </c>
      <c r="J14" s="7">
        <v>110.13</v>
      </c>
      <c r="L14" s="7">
        <v>136.34757000000002</v>
      </c>
      <c r="M14" s="7">
        <v>144.60289</v>
      </c>
      <c r="N14" s="7">
        <v>143.43751</v>
      </c>
      <c r="P14" s="22">
        <v>1498.06</v>
      </c>
      <c r="Q14" s="22">
        <v>1428.55</v>
      </c>
      <c r="R14" s="22">
        <v>1438.36</v>
      </c>
    </row>
    <row r="15" spans="1:18" x14ac:dyDescent="0.25">
      <c r="A15" s="26" t="s">
        <v>15</v>
      </c>
      <c r="B15" s="26">
        <v>675</v>
      </c>
      <c r="C15" s="26">
        <v>20</v>
      </c>
      <c r="D15" s="26">
        <v>1676</v>
      </c>
      <c r="E15" s="26">
        <f t="shared" si="0"/>
        <v>2371</v>
      </c>
      <c r="G15" s="7">
        <v>91.14</v>
      </c>
      <c r="H15" s="7">
        <v>79.69</v>
      </c>
      <c r="I15" s="7">
        <v>94.51</v>
      </c>
      <c r="J15" s="7">
        <v>93.44</v>
      </c>
      <c r="L15" s="7">
        <v>105.28789999999999</v>
      </c>
      <c r="M15" s="7">
        <v>123.02947</v>
      </c>
      <c r="N15" s="7">
        <v>117.79005000000001</v>
      </c>
      <c r="P15" s="22">
        <v>1222.8399999999999</v>
      </c>
      <c r="Q15" s="22">
        <v>1381.91</v>
      </c>
      <c r="R15" s="22">
        <v>1334.94</v>
      </c>
    </row>
    <row r="16" spans="1:18" x14ac:dyDescent="0.25">
      <c r="A16" s="26" t="s">
        <v>16</v>
      </c>
      <c r="B16" s="26">
        <v>239</v>
      </c>
      <c r="C16" s="26">
        <v>33</v>
      </c>
      <c r="D16" s="26">
        <v>3043</v>
      </c>
      <c r="E16" s="26">
        <f t="shared" si="0"/>
        <v>3315</v>
      </c>
      <c r="G16" s="7">
        <v>107.48</v>
      </c>
      <c r="H16" s="7">
        <v>73.36</v>
      </c>
      <c r="I16" s="7">
        <v>92.42</v>
      </c>
      <c r="J16" s="7">
        <v>93.37</v>
      </c>
      <c r="L16" s="7">
        <v>228.30016000000001</v>
      </c>
      <c r="M16" s="7">
        <v>154.13332</v>
      </c>
      <c r="N16" s="7">
        <v>159.87788</v>
      </c>
      <c r="P16" s="22">
        <v>2155</v>
      </c>
      <c r="Q16" s="22">
        <v>1783.64</v>
      </c>
      <c r="R16" s="22">
        <v>1812.4</v>
      </c>
    </row>
    <row r="17" spans="1:18" x14ac:dyDescent="0.25">
      <c r="A17" s="26" t="s">
        <v>17</v>
      </c>
      <c r="B17" s="26">
        <v>149</v>
      </c>
      <c r="C17" s="26">
        <v>2</v>
      </c>
      <c r="D17" s="26">
        <v>1075</v>
      </c>
      <c r="E17" s="26">
        <f t="shared" si="0"/>
        <v>1226</v>
      </c>
      <c r="G17" s="7">
        <v>100.87</v>
      </c>
      <c r="H17" s="7">
        <v>83</v>
      </c>
      <c r="I17" s="7">
        <v>95.14</v>
      </c>
      <c r="J17" s="7">
        <v>95.74</v>
      </c>
      <c r="L17" s="7">
        <v>92.148420000000002</v>
      </c>
      <c r="M17" s="7">
        <v>109.25821000000001</v>
      </c>
      <c r="N17" s="7">
        <v>107.38736</v>
      </c>
      <c r="P17" s="22">
        <v>1044.81</v>
      </c>
      <c r="Q17" s="22">
        <v>1204.07</v>
      </c>
      <c r="R17" s="22">
        <v>1186.6500000000001</v>
      </c>
    </row>
    <row r="18" spans="1:18" x14ac:dyDescent="0.25">
      <c r="A18" s="26" t="s">
        <v>18</v>
      </c>
      <c r="B18" s="26">
        <v>713</v>
      </c>
      <c r="C18" s="26">
        <v>6</v>
      </c>
      <c r="D18" s="26">
        <v>2416</v>
      </c>
      <c r="E18" s="26">
        <f t="shared" si="0"/>
        <v>3135</v>
      </c>
      <c r="G18" s="7">
        <v>104.87</v>
      </c>
      <c r="H18" s="7">
        <v>99.33</v>
      </c>
      <c r="I18" s="7">
        <v>114.85</v>
      </c>
      <c r="J18" s="7">
        <v>112.5</v>
      </c>
      <c r="L18" s="7">
        <v>238.17411999999999</v>
      </c>
      <c r="M18" s="7">
        <v>297.27926000000002</v>
      </c>
      <c r="N18" s="7">
        <v>283.33837</v>
      </c>
      <c r="P18" s="22">
        <v>2305.8000000000002</v>
      </c>
      <c r="Q18" s="22">
        <v>2704.09</v>
      </c>
      <c r="R18" s="22">
        <v>2610.15</v>
      </c>
    </row>
    <row r="19" spans="1:18" x14ac:dyDescent="0.25">
      <c r="A19" s="26" t="s">
        <v>19</v>
      </c>
      <c r="B19" s="26">
        <v>1592</v>
      </c>
      <c r="C19" s="26">
        <v>117</v>
      </c>
      <c r="D19" s="26">
        <v>7377</v>
      </c>
      <c r="E19" s="26">
        <f t="shared" si="0"/>
        <v>9086</v>
      </c>
      <c r="G19" s="7">
        <v>103.41</v>
      </c>
      <c r="H19" s="7">
        <v>74.14</v>
      </c>
      <c r="I19" s="7">
        <v>90</v>
      </c>
      <c r="J19" s="7">
        <v>92.07</v>
      </c>
      <c r="L19" s="7">
        <v>315.74518999999998</v>
      </c>
      <c r="M19" s="7">
        <v>241.95142000000001</v>
      </c>
      <c r="N19" s="7">
        <v>255.43204</v>
      </c>
      <c r="P19" s="22">
        <v>3311.9</v>
      </c>
      <c r="Q19" s="22">
        <v>2824.43</v>
      </c>
      <c r="R19" s="22">
        <v>2913.48</v>
      </c>
    </row>
    <row r="20" spans="1:18" x14ac:dyDescent="0.25">
      <c r="A20" s="26" t="s">
        <v>20</v>
      </c>
      <c r="B20" s="26">
        <v>549</v>
      </c>
      <c r="C20" s="26">
        <v>15</v>
      </c>
      <c r="D20" s="26">
        <v>2255</v>
      </c>
      <c r="E20" s="26">
        <f t="shared" si="0"/>
        <v>2819</v>
      </c>
      <c r="G20" s="7">
        <v>113.54</v>
      </c>
      <c r="H20" s="7">
        <v>54.2</v>
      </c>
      <c r="I20" s="7">
        <v>99.37</v>
      </c>
      <c r="J20" s="7">
        <v>101.84</v>
      </c>
      <c r="L20" s="7">
        <v>174.6146</v>
      </c>
      <c r="M20" s="7">
        <v>158.65226999999999</v>
      </c>
      <c r="N20" s="7">
        <v>161.78995</v>
      </c>
      <c r="P20" s="22">
        <v>1811.07</v>
      </c>
      <c r="Q20" s="22">
        <v>1807.48</v>
      </c>
      <c r="R20" s="22">
        <v>1808.19</v>
      </c>
    </row>
    <row r="21" spans="1:18" x14ac:dyDescent="0.25">
      <c r="A21" s="26" t="s">
        <v>21</v>
      </c>
      <c r="B21" s="26">
        <v>2917</v>
      </c>
      <c r="C21" s="26">
        <v>306</v>
      </c>
      <c r="D21" s="26">
        <v>19845</v>
      </c>
      <c r="E21" s="26">
        <f t="shared" si="0"/>
        <v>23068</v>
      </c>
      <c r="G21" s="7">
        <v>78.97</v>
      </c>
      <c r="H21" s="7">
        <v>67.27</v>
      </c>
      <c r="I21" s="7">
        <v>75.08</v>
      </c>
      <c r="J21" s="7">
        <v>75.47</v>
      </c>
      <c r="L21" s="7">
        <v>345.32594</v>
      </c>
      <c r="M21" s="7">
        <v>307.01440000000002</v>
      </c>
      <c r="N21" s="7">
        <v>312.48596999999995</v>
      </c>
      <c r="P21" s="22">
        <v>4228.6899999999996</v>
      </c>
      <c r="Q21" s="22">
        <v>3827.76</v>
      </c>
      <c r="R21" s="22">
        <v>3885.02</v>
      </c>
    </row>
    <row r="22" spans="1:18" x14ac:dyDescent="0.25">
      <c r="A22" s="26" t="s">
        <v>22</v>
      </c>
      <c r="B22" s="26">
        <v>16</v>
      </c>
      <c r="C22" s="26">
        <v>0</v>
      </c>
      <c r="D22" s="26">
        <v>396</v>
      </c>
      <c r="E22" s="26">
        <f t="shared" si="0"/>
        <v>412</v>
      </c>
      <c r="G22" s="7">
        <v>66.75</v>
      </c>
      <c r="H22" s="7">
        <v>0</v>
      </c>
      <c r="I22" s="7">
        <v>85.82</v>
      </c>
      <c r="J22" s="7">
        <v>85.04</v>
      </c>
      <c r="L22" s="7">
        <v>89.870620000000002</v>
      </c>
      <c r="M22" s="7">
        <v>98.258830000000003</v>
      </c>
      <c r="N22" s="7">
        <v>97.910229999999999</v>
      </c>
      <c r="P22" s="22">
        <v>1245.3900000000001</v>
      </c>
      <c r="Q22" s="22">
        <v>1233.8699999999999</v>
      </c>
      <c r="R22" s="22">
        <v>1234.3499999999999</v>
      </c>
    </row>
    <row r="23" spans="1:18" x14ac:dyDescent="0.25">
      <c r="A23" s="26" t="s">
        <v>23</v>
      </c>
      <c r="B23" s="26">
        <v>159</v>
      </c>
      <c r="C23" s="26">
        <v>1</v>
      </c>
      <c r="D23" s="26">
        <v>409</v>
      </c>
      <c r="E23" s="26">
        <f t="shared" si="0"/>
        <v>569</v>
      </c>
      <c r="G23" s="7">
        <v>144.07</v>
      </c>
      <c r="H23" s="7">
        <v>77</v>
      </c>
      <c r="I23" s="7">
        <v>111.37</v>
      </c>
      <c r="J23" s="7">
        <v>120.69</v>
      </c>
      <c r="L23" s="7">
        <v>418.45466999999996</v>
      </c>
      <c r="M23" s="7">
        <v>334.51038</v>
      </c>
      <c r="N23" s="7">
        <v>358.76095000000004</v>
      </c>
      <c r="P23" s="22">
        <v>2973.84</v>
      </c>
      <c r="Q23" s="22">
        <v>3018.32</v>
      </c>
      <c r="R23" s="22">
        <v>3005.47</v>
      </c>
    </row>
    <row r="24" spans="1:18" x14ac:dyDescent="0.25">
      <c r="A24" s="26" t="s">
        <v>24</v>
      </c>
      <c r="B24" s="26">
        <v>8</v>
      </c>
      <c r="C24" s="26">
        <v>0</v>
      </c>
      <c r="D24" s="26">
        <v>157</v>
      </c>
      <c r="E24" s="26">
        <f t="shared" si="0"/>
        <v>165</v>
      </c>
      <c r="G24" s="7">
        <v>164</v>
      </c>
      <c r="H24" s="7">
        <v>0</v>
      </c>
      <c r="I24" s="7">
        <v>136.35</v>
      </c>
      <c r="J24" s="7">
        <v>137.47</v>
      </c>
      <c r="L24" s="7">
        <v>174.48587000000001</v>
      </c>
      <c r="M24" s="7">
        <v>106.4858</v>
      </c>
      <c r="N24" s="7">
        <v>109.44232000000001</v>
      </c>
      <c r="P24" s="22">
        <v>970.77</v>
      </c>
      <c r="Q24" s="22">
        <v>969.33</v>
      </c>
      <c r="R24" s="22">
        <v>969.39</v>
      </c>
    </row>
    <row r="25" spans="1:18" x14ac:dyDescent="0.25">
      <c r="A25" s="26" t="s">
        <v>25</v>
      </c>
      <c r="B25" s="26">
        <v>694</v>
      </c>
      <c r="C25" s="26">
        <v>3</v>
      </c>
      <c r="D25" s="26">
        <v>1980</v>
      </c>
      <c r="E25" s="26">
        <f t="shared" si="0"/>
        <v>2677</v>
      </c>
      <c r="G25" s="7">
        <v>98.39</v>
      </c>
      <c r="H25" s="7">
        <v>79.67</v>
      </c>
      <c r="I25" s="7">
        <v>103.28</v>
      </c>
      <c r="J25" s="7">
        <v>101.94</v>
      </c>
      <c r="L25" s="7">
        <v>350.54503999999997</v>
      </c>
      <c r="M25" s="7">
        <v>295.48290999999995</v>
      </c>
      <c r="N25" s="7">
        <v>310.57943999999998</v>
      </c>
      <c r="P25" s="22">
        <v>3716.23</v>
      </c>
      <c r="Q25" s="22">
        <v>3091.26</v>
      </c>
      <c r="R25" s="22">
        <v>3262.61</v>
      </c>
    </row>
    <row r="26" spans="1:18" x14ac:dyDescent="0.25">
      <c r="A26" s="26" t="s">
        <v>26</v>
      </c>
      <c r="B26" s="26">
        <v>23</v>
      </c>
      <c r="C26" s="26">
        <v>0</v>
      </c>
      <c r="D26" s="26">
        <v>179</v>
      </c>
      <c r="E26" s="26">
        <f t="shared" si="0"/>
        <v>202</v>
      </c>
      <c r="G26" s="7">
        <v>158.19</v>
      </c>
      <c r="H26" s="7">
        <v>0</v>
      </c>
      <c r="I26" s="7">
        <v>126.98</v>
      </c>
      <c r="J26" s="7">
        <v>131.26</v>
      </c>
      <c r="L26" s="7">
        <v>112.98428999999999</v>
      </c>
      <c r="M26" s="7">
        <v>70.977589999999992</v>
      </c>
      <c r="N26" s="7">
        <v>76.978549999999998</v>
      </c>
      <c r="P26" s="22">
        <v>834.98</v>
      </c>
      <c r="Q26" s="22">
        <v>632.17999999999995</v>
      </c>
      <c r="R26" s="22">
        <v>661.15</v>
      </c>
    </row>
    <row r="27" spans="1:18" x14ac:dyDescent="0.25">
      <c r="A27" s="26" t="s">
        <v>27</v>
      </c>
      <c r="B27" s="26">
        <v>156</v>
      </c>
      <c r="C27" s="26">
        <v>9</v>
      </c>
      <c r="D27" s="26">
        <v>421</v>
      </c>
      <c r="E27" s="26">
        <f t="shared" si="0"/>
        <v>586</v>
      </c>
      <c r="G27" s="7">
        <v>108.71</v>
      </c>
      <c r="H27" s="7">
        <v>71</v>
      </c>
      <c r="I27" s="7">
        <v>91.06</v>
      </c>
      <c r="J27" s="7">
        <v>95.44</v>
      </c>
      <c r="L27" s="7">
        <v>152.88765000000001</v>
      </c>
      <c r="M27" s="7">
        <v>131.53577999999999</v>
      </c>
      <c r="N27" s="7">
        <v>137.66738000000001</v>
      </c>
      <c r="P27" s="22">
        <v>1585.32</v>
      </c>
      <c r="Q27" s="22">
        <v>1461.7</v>
      </c>
      <c r="R27" s="22">
        <v>1497.2</v>
      </c>
    </row>
    <row r="28" spans="1:18" x14ac:dyDescent="0.25">
      <c r="A28" s="26" t="s">
        <v>28</v>
      </c>
      <c r="B28" s="26">
        <v>832</v>
      </c>
      <c r="C28" s="26">
        <v>81</v>
      </c>
      <c r="D28" s="26">
        <v>1471</v>
      </c>
      <c r="E28" s="26">
        <f t="shared" si="0"/>
        <v>2384</v>
      </c>
      <c r="G28" s="7">
        <v>98.36</v>
      </c>
      <c r="H28" s="7">
        <v>72.88</v>
      </c>
      <c r="I28" s="7">
        <v>99.64</v>
      </c>
      <c r="J28" s="7">
        <v>98.27</v>
      </c>
      <c r="L28" s="7">
        <v>232.36742999999998</v>
      </c>
      <c r="M28" s="7">
        <v>193.62715</v>
      </c>
      <c r="N28" s="7">
        <v>208.72</v>
      </c>
      <c r="P28" s="22">
        <v>2428.31</v>
      </c>
      <c r="Q28" s="22">
        <v>1971.42</v>
      </c>
      <c r="R28" s="22">
        <v>2149.42</v>
      </c>
    </row>
    <row r="29" spans="1:18" x14ac:dyDescent="0.25">
      <c r="A29" s="26" t="s">
        <v>72</v>
      </c>
      <c r="B29" s="26">
        <v>6</v>
      </c>
      <c r="C29" s="26">
        <v>0</v>
      </c>
      <c r="D29" s="26">
        <v>48</v>
      </c>
      <c r="E29" s="26">
        <f t="shared" si="0"/>
        <v>54</v>
      </c>
      <c r="G29" s="7">
        <v>174.2</v>
      </c>
      <c r="H29" s="7">
        <v>0</v>
      </c>
      <c r="I29" s="7">
        <v>94.24</v>
      </c>
      <c r="J29" s="7">
        <v>103.76</v>
      </c>
      <c r="L29" s="7">
        <v>137.47620000000001</v>
      </c>
      <c r="M29" s="7">
        <v>102.99988999999999</v>
      </c>
      <c r="N29" s="7">
        <v>107.10421000000001</v>
      </c>
      <c r="P29" s="22">
        <v>1030.24</v>
      </c>
      <c r="Q29" s="22">
        <v>1125.94</v>
      </c>
      <c r="R29" s="22">
        <v>1114.54</v>
      </c>
    </row>
    <row r="30" spans="1:18" x14ac:dyDescent="0.25">
      <c r="A30" s="26" t="s">
        <v>29</v>
      </c>
      <c r="B30" s="26">
        <v>1144</v>
      </c>
      <c r="C30" s="26">
        <v>64</v>
      </c>
      <c r="D30" s="26">
        <v>4459</v>
      </c>
      <c r="E30" s="26">
        <f t="shared" si="0"/>
        <v>5667</v>
      </c>
      <c r="G30" s="7">
        <v>97.88</v>
      </c>
      <c r="H30" s="7">
        <v>63.73</v>
      </c>
      <c r="I30" s="7">
        <v>105.58</v>
      </c>
      <c r="J30" s="7">
        <v>103.54</v>
      </c>
      <c r="L30" s="7">
        <v>274.27620000000002</v>
      </c>
      <c r="M30" s="7">
        <v>253.72824</v>
      </c>
      <c r="N30" s="7">
        <v>258.00245999999999</v>
      </c>
      <c r="P30" s="22">
        <v>2961.46</v>
      </c>
      <c r="Q30" s="22">
        <v>2538.6</v>
      </c>
      <c r="R30" s="22">
        <v>2626.56</v>
      </c>
    </row>
    <row r="31" spans="1:18" x14ac:dyDescent="0.25">
      <c r="A31" s="26" t="s">
        <v>68</v>
      </c>
      <c r="B31" s="26">
        <v>43</v>
      </c>
      <c r="C31" s="26">
        <v>0</v>
      </c>
      <c r="D31" s="26">
        <v>115</v>
      </c>
      <c r="E31" s="26">
        <f t="shared" si="0"/>
        <v>158</v>
      </c>
      <c r="G31" s="7">
        <v>149.9</v>
      </c>
      <c r="H31" s="7">
        <v>0</v>
      </c>
      <c r="I31" s="7">
        <v>132.87</v>
      </c>
      <c r="J31" s="7">
        <v>137.5</v>
      </c>
      <c r="L31" s="7">
        <v>174.35063</v>
      </c>
      <c r="M31" s="7">
        <v>186.56278</v>
      </c>
      <c r="N31" s="7">
        <v>183.21698000000001</v>
      </c>
      <c r="P31" s="22">
        <v>1223.24</v>
      </c>
      <c r="Q31" s="22">
        <v>1589.81</v>
      </c>
      <c r="R31" s="22">
        <v>1489.38</v>
      </c>
    </row>
    <row r="32" spans="1:18" x14ac:dyDescent="0.25">
      <c r="A32" s="26" t="s">
        <v>30</v>
      </c>
      <c r="B32" s="26">
        <v>91</v>
      </c>
      <c r="C32" s="26">
        <v>0</v>
      </c>
      <c r="D32" s="26">
        <v>1432</v>
      </c>
      <c r="E32" s="26">
        <f t="shared" si="0"/>
        <v>1523</v>
      </c>
      <c r="G32" s="7">
        <v>84.59</v>
      </c>
      <c r="H32" s="7">
        <v>0</v>
      </c>
      <c r="I32" s="7">
        <v>86.91</v>
      </c>
      <c r="J32" s="7">
        <v>86.81</v>
      </c>
      <c r="L32" s="7">
        <v>63.068150000000003</v>
      </c>
      <c r="M32" s="7">
        <v>78.171340000000001</v>
      </c>
      <c r="N32" s="7">
        <v>77.509799999999998</v>
      </c>
      <c r="P32" s="22">
        <v>759.2</v>
      </c>
      <c r="Q32" s="22">
        <v>966.38</v>
      </c>
      <c r="R32" s="22">
        <v>957.3</v>
      </c>
    </row>
    <row r="33" spans="1:18" x14ac:dyDescent="0.25">
      <c r="A33" s="26" t="s">
        <v>31</v>
      </c>
      <c r="B33" s="26">
        <v>64</v>
      </c>
      <c r="C33" s="26">
        <v>0</v>
      </c>
      <c r="D33" s="26">
        <v>371</v>
      </c>
      <c r="E33" s="26">
        <f t="shared" si="0"/>
        <v>435</v>
      </c>
      <c r="G33" s="7">
        <v>75.069999999999993</v>
      </c>
      <c r="H33" s="7">
        <v>0</v>
      </c>
      <c r="I33" s="7">
        <v>102.95</v>
      </c>
      <c r="J33" s="7">
        <v>98.01</v>
      </c>
      <c r="L33" s="7">
        <v>41.351949999999995</v>
      </c>
      <c r="M33" s="7">
        <v>74.703310000000002</v>
      </c>
      <c r="N33" s="7">
        <v>68.475049999999996</v>
      </c>
      <c r="P33" s="22">
        <v>492.21</v>
      </c>
      <c r="Q33" s="22">
        <v>750.55</v>
      </c>
      <c r="R33" s="22">
        <v>702.31</v>
      </c>
    </row>
    <row r="34" spans="1:18" x14ac:dyDescent="0.25">
      <c r="A34" s="26" t="s">
        <v>32</v>
      </c>
      <c r="B34" s="26">
        <v>408</v>
      </c>
      <c r="C34" s="26">
        <v>5</v>
      </c>
      <c r="D34" s="26">
        <v>1207</v>
      </c>
      <c r="E34" s="26">
        <f t="shared" si="0"/>
        <v>1620</v>
      </c>
      <c r="G34" s="7">
        <v>98.65</v>
      </c>
      <c r="H34" s="7">
        <v>75.400000000000006</v>
      </c>
      <c r="I34" s="7">
        <v>103.77</v>
      </c>
      <c r="J34" s="7">
        <v>102.37</v>
      </c>
      <c r="L34" s="7">
        <v>220.70270000000002</v>
      </c>
      <c r="M34" s="7">
        <v>147.37029000000001</v>
      </c>
      <c r="N34" s="7">
        <v>166.48963000000001</v>
      </c>
      <c r="P34" s="22">
        <v>2326.85</v>
      </c>
      <c r="Q34" s="22">
        <v>1547.31</v>
      </c>
      <c r="R34" s="22">
        <v>1750.55</v>
      </c>
    </row>
    <row r="35" spans="1:18" x14ac:dyDescent="0.25">
      <c r="A35" s="26" t="s">
        <v>33</v>
      </c>
      <c r="B35" s="26">
        <v>6</v>
      </c>
      <c r="C35" s="26">
        <v>0</v>
      </c>
      <c r="D35" s="26">
        <v>204</v>
      </c>
      <c r="E35" s="26">
        <f t="shared" si="0"/>
        <v>210</v>
      </c>
      <c r="G35" s="7">
        <v>60.33</v>
      </c>
      <c r="H35" s="7">
        <v>0</v>
      </c>
      <c r="I35" s="7">
        <v>98.82</v>
      </c>
      <c r="J35" s="7">
        <v>97.49</v>
      </c>
      <c r="L35" s="7">
        <v>84.216669999999993</v>
      </c>
      <c r="M35" s="7">
        <v>84.426929999999999</v>
      </c>
      <c r="N35" s="7">
        <v>84.419589999999999</v>
      </c>
      <c r="P35" s="22">
        <v>1393.51</v>
      </c>
      <c r="Q35" s="22">
        <v>930.73</v>
      </c>
      <c r="R35" s="22">
        <v>946.87</v>
      </c>
    </row>
    <row r="36" spans="1:18" x14ac:dyDescent="0.25">
      <c r="A36" s="26" t="s">
        <v>34</v>
      </c>
      <c r="B36" s="26">
        <v>0</v>
      </c>
      <c r="C36" s="26">
        <v>0</v>
      </c>
      <c r="D36" s="26">
        <v>174</v>
      </c>
      <c r="E36" s="26">
        <f t="shared" si="0"/>
        <v>174</v>
      </c>
      <c r="G36" s="7">
        <v>0</v>
      </c>
      <c r="H36" s="7">
        <v>0</v>
      </c>
      <c r="I36" s="7">
        <v>95.81</v>
      </c>
      <c r="J36" s="7">
        <v>95.81</v>
      </c>
      <c r="L36" s="7">
        <v>0</v>
      </c>
      <c r="M36" s="7">
        <v>117.65758</v>
      </c>
      <c r="N36" s="7">
        <v>117.65758</v>
      </c>
      <c r="P36" s="22">
        <v>0</v>
      </c>
      <c r="Q36" s="22">
        <v>1484.38</v>
      </c>
      <c r="R36" s="22">
        <v>1484.38</v>
      </c>
    </row>
    <row r="37" spans="1:18" x14ac:dyDescent="0.25">
      <c r="A37" s="26" t="s">
        <v>35</v>
      </c>
      <c r="B37" s="26">
        <v>67</v>
      </c>
      <c r="C37" s="26">
        <v>6</v>
      </c>
      <c r="D37" s="26">
        <v>163</v>
      </c>
      <c r="E37" s="26">
        <f t="shared" si="0"/>
        <v>236</v>
      </c>
      <c r="G37" s="7">
        <v>148.22999999999999</v>
      </c>
      <c r="H37" s="7">
        <v>82</v>
      </c>
      <c r="I37" s="7">
        <v>118.74</v>
      </c>
      <c r="J37" s="7">
        <v>126.18</v>
      </c>
      <c r="L37" s="7">
        <v>202.15787</v>
      </c>
      <c r="M37" s="7">
        <v>181.72776000000002</v>
      </c>
      <c r="N37" s="7">
        <v>188.11870999999999</v>
      </c>
      <c r="P37" s="22">
        <v>1609.07</v>
      </c>
      <c r="Q37" s="22">
        <v>1668.62</v>
      </c>
      <c r="R37" s="22">
        <v>1649.99</v>
      </c>
    </row>
    <row r="38" spans="1:18" x14ac:dyDescent="0.25">
      <c r="A38" s="26" t="s">
        <v>36</v>
      </c>
      <c r="B38" s="26">
        <v>95</v>
      </c>
      <c r="C38" s="26">
        <v>4</v>
      </c>
      <c r="D38" s="26">
        <v>227</v>
      </c>
      <c r="E38" s="26">
        <f t="shared" si="0"/>
        <v>326</v>
      </c>
      <c r="G38" s="7">
        <v>139.66</v>
      </c>
      <c r="H38" s="7">
        <v>63</v>
      </c>
      <c r="I38" s="7">
        <v>122.69</v>
      </c>
      <c r="J38" s="7">
        <v>125.12</v>
      </c>
      <c r="L38" s="7">
        <v>120.39945</v>
      </c>
      <c r="M38" s="7">
        <v>99.799449999999993</v>
      </c>
      <c r="N38" s="7">
        <v>103.65561</v>
      </c>
      <c r="P38" s="22">
        <v>889.65</v>
      </c>
      <c r="Q38" s="22">
        <v>861.56</v>
      </c>
      <c r="R38" s="22">
        <v>866.82</v>
      </c>
    </row>
    <row r="39" spans="1:18" x14ac:dyDescent="0.25">
      <c r="A39" s="26" t="s">
        <v>37</v>
      </c>
      <c r="B39" s="26">
        <v>18</v>
      </c>
      <c r="C39" s="26">
        <v>0</v>
      </c>
      <c r="D39" s="26">
        <v>89</v>
      </c>
      <c r="E39" s="26">
        <f t="shared" si="0"/>
        <v>107</v>
      </c>
      <c r="G39" s="7">
        <v>73.19</v>
      </c>
      <c r="H39" s="7">
        <v>0</v>
      </c>
      <c r="I39" s="7">
        <v>147.47</v>
      </c>
      <c r="J39" s="7">
        <v>134.11000000000001</v>
      </c>
      <c r="L39" s="7">
        <v>44.628120000000003</v>
      </c>
      <c r="M39" s="7">
        <v>108.8368</v>
      </c>
      <c r="N39" s="7">
        <v>97.162499999999994</v>
      </c>
      <c r="P39" s="22">
        <v>598.19000000000005</v>
      </c>
      <c r="Q39" s="22">
        <v>947.44</v>
      </c>
      <c r="R39" s="22">
        <v>883.94</v>
      </c>
    </row>
    <row r="40" spans="1:18" x14ac:dyDescent="0.25">
      <c r="A40" s="26" t="s">
        <v>38</v>
      </c>
      <c r="B40" s="26">
        <v>46</v>
      </c>
      <c r="C40" s="26">
        <v>2</v>
      </c>
      <c r="D40" s="26">
        <v>210</v>
      </c>
      <c r="E40" s="26">
        <f t="shared" si="0"/>
        <v>258</v>
      </c>
      <c r="G40" s="7">
        <v>97.16</v>
      </c>
      <c r="H40" s="7">
        <v>59</v>
      </c>
      <c r="I40" s="7">
        <v>109.42</v>
      </c>
      <c r="J40" s="7">
        <v>106.44</v>
      </c>
      <c r="L40" s="7">
        <v>61.097670000000001</v>
      </c>
      <c r="M40" s="7">
        <v>79.370490000000004</v>
      </c>
      <c r="N40" s="7">
        <v>75.247389999999996</v>
      </c>
      <c r="P40" s="22">
        <v>612.89</v>
      </c>
      <c r="Q40" s="22">
        <v>774.82</v>
      </c>
      <c r="R40" s="22">
        <v>738.28</v>
      </c>
    </row>
    <row r="41" spans="1:18" x14ac:dyDescent="0.25">
      <c r="A41" s="26" t="s">
        <v>39</v>
      </c>
      <c r="B41" s="26">
        <v>77</v>
      </c>
      <c r="C41" s="26">
        <v>0</v>
      </c>
      <c r="D41" s="26">
        <v>347</v>
      </c>
      <c r="E41" s="26">
        <f t="shared" si="0"/>
        <v>424</v>
      </c>
      <c r="G41" s="7">
        <v>97.9</v>
      </c>
      <c r="H41" s="7">
        <v>0</v>
      </c>
      <c r="I41" s="7">
        <v>95.33</v>
      </c>
      <c r="J41" s="7">
        <v>95.77</v>
      </c>
      <c r="L41" s="7">
        <v>156.65253000000001</v>
      </c>
      <c r="M41" s="7">
        <v>137.4282</v>
      </c>
      <c r="N41" s="7">
        <v>140.73154</v>
      </c>
      <c r="P41" s="22">
        <v>1705.54</v>
      </c>
      <c r="Q41" s="22">
        <v>1575.62</v>
      </c>
      <c r="R41" s="22">
        <v>1597.95</v>
      </c>
    </row>
    <row r="42" spans="1:18" x14ac:dyDescent="0.25">
      <c r="A42" s="26" t="s">
        <v>40</v>
      </c>
      <c r="B42" s="26">
        <v>56</v>
      </c>
      <c r="C42" s="26">
        <v>4</v>
      </c>
      <c r="D42" s="26">
        <v>149</v>
      </c>
      <c r="E42" s="26">
        <f t="shared" si="0"/>
        <v>209</v>
      </c>
      <c r="G42" s="7">
        <v>124.81</v>
      </c>
      <c r="H42" s="7">
        <v>68.67</v>
      </c>
      <c r="I42" s="7">
        <v>119.18</v>
      </c>
      <c r="J42" s="7">
        <v>119.33</v>
      </c>
      <c r="L42" s="7">
        <v>109.22256</v>
      </c>
      <c r="M42" s="7">
        <v>95.491169999999997</v>
      </c>
      <c r="N42" s="7">
        <v>98.54258999999999</v>
      </c>
      <c r="P42" s="22">
        <v>988.24</v>
      </c>
      <c r="Q42" s="22">
        <v>863.69</v>
      </c>
      <c r="R42" s="22">
        <v>891.37</v>
      </c>
    </row>
    <row r="43" spans="1:18" x14ac:dyDescent="0.25">
      <c r="A43" s="26" t="s">
        <v>41</v>
      </c>
      <c r="B43" s="26">
        <v>825</v>
      </c>
      <c r="C43" s="26">
        <v>92</v>
      </c>
      <c r="D43" s="26">
        <v>1849</v>
      </c>
      <c r="E43" s="26">
        <f t="shared" si="0"/>
        <v>2766</v>
      </c>
      <c r="G43" s="7">
        <v>104.34</v>
      </c>
      <c r="H43" s="7">
        <v>90.45</v>
      </c>
      <c r="I43" s="7">
        <v>100.98</v>
      </c>
      <c r="J43" s="7">
        <v>101.7</v>
      </c>
      <c r="L43" s="7">
        <v>137.97998999999999</v>
      </c>
      <c r="M43" s="7">
        <v>107.54053999999999</v>
      </c>
      <c r="N43" s="7">
        <v>117.79021</v>
      </c>
      <c r="P43" s="22">
        <v>1306.8900000000001</v>
      </c>
      <c r="Q43" s="22">
        <v>1098.94</v>
      </c>
      <c r="R43" s="22">
        <v>1168.96</v>
      </c>
    </row>
    <row r="44" spans="1:18" x14ac:dyDescent="0.25">
      <c r="A44" s="26" t="s">
        <v>42</v>
      </c>
      <c r="B44" s="26">
        <v>493</v>
      </c>
      <c r="C44" s="26">
        <v>8</v>
      </c>
      <c r="D44" s="26">
        <v>2327</v>
      </c>
      <c r="E44" s="26">
        <f t="shared" si="0"/>
        <v>2828</v>
      </c>
      <c r="G44" s="7">
        <v>119.35</v>
      </c>
      <c r="H44" s="7">
        <v>87.57</v>
      </c>
      <c r="I44" s="7">
        <v>100.8</v>
      </c>
      <c r="J44" s="7">
        <v>103.86</v>
      </c>
      <c r="L44" s="7">
        <v>187.75677999999999</v>
      </c>
      <c r="M44" s="7">
        <v>177.68657999999999</v>
      </c>
      <c r="N44" s="7">
        <v>179.39089999999999</v>
      </c>
      <c r="P44" s="22">
        <v>1708.62</v>
      </c>
      <c r="Q44" s="22">
        <v>1975.34</v>
      </c>
      <c r="R44" s="22">
        <v>1930.2</v>
      </c>
    </row>
    <row r="45" spans="1:18" x14ac:dyDescent="0.25">
      <c r="A45" s="26" t="s">
        <v>43</v>
      </c>
      <c r="B45" s="26">
        <v>5</v>
      </c>
      <c r="C45" s="26">
        <v>0</v>
      </c>
      <c r="D45" s="26">
        <v>102</v>
      </c>
      <c r="E45" s="26">
        <f t="shared" si="0"/>
        <v>107</v>
      </c>
      <c r="G45" s="7">
        <v>132.4</v>
      </c>
      <c r="H45" s="7">
        <v>0</v>
      </c>
      <c r="I45" s="7">
        <v>108.87</v>
      </c>
      <c r="J45" s="7">
        <v>110.13</v>
      </c>
      <c r="L45" s="7">
        <v>136</v>
      </c>
      <c r="M45" s="7">
        <v>123.27381</v>
      </c>
      <c r="N45" s="7">
        <v>124.04044999999999</v>
      </c>
      <c r="P45" s="22">
        <v>1156.6600000000001</v>
      </c>
      <c r="Q45" s="22">
        <v>1201.45</v>
      </c>
      <c r="R45" s="22">
        <v>1198.75</v>
      </c>
    </row>
    <row r="46" spans="1:18" x14ac:dyDescent="0.25">
      <c r="A46" s="26" t="s">
        <v>44</v>
      </c>
      <c r="B46" s="26">
        <v>973</v>
      </c>
      <c r="C46" s="26">
        <v>105</v>
      </c>
      <c r="D46" s="26">
        <v>4256</v>
      </c>
      <c r="E46" s="26">
        <f t="shared" si="0"/>
        <v>5334</v>
      </c>
      <c r="G46" s="7">
        <v>95.68</v>
      </c>
      <c r="H46" s="7">
        <v>61.92</v>
      </c>
      <c r="I46" s="7">
        <v>83.11</v>
      </c>
      <c r="J46" s="7">
        <v>85.24</v>
      </c>
      <c r="L46" s="7">
        <v>176.01876999999999</v>
      </c>
      <c r="M46" s="7">
        <v>144.23966000000001</v>
      </c>
      <c r="N46" s="7">
        <v>150.21634</v>
      </c>
      <c r="P46" s="22">
        <v>1982.13</v>
      </c>
      <c r="Q46" s="22">
        <v>1868.72</v>
      </c>
      <c r="R46" s="22">
        <v>1890.05</v>
      </c>
    </row>
    <row r="47" spans="1:18" x14ac:dyDescent="0.25">
      <c r="A47" s="26" t="s">
        <v>45</v>
      </c>
      <c r="B47" s="26">
        <v>13</v>
      </c>
      <c r="C47" s="26">
        <v>0</v>
      </c>
      <c r="D47" s="26">
        <v>40</v>
      </c>
      <c r="E47" s="26">
        <f t="shared" si="0"/>
        <v>53</v>
      </c>
      <c r="G47" s="7">
        <v>127.83</v>
      </c>
      <c r="H47" s="7">
        <v>0</v>
      </c>
      <c r="I47" s="7">
        <v>111.23</v>
      </c>
      <c r="J47" s="7">
        <v>115.97</v>
      </c>
      <c r="L47" s="7">
        <v>139.64167</v>
      </c>
      <c r="M47" s="7">
        <v>110.34699999999999</v>
      </c>
      <c r="N47" s="7">
        <v>118.71691</v>
      </c>
      <c r="P47" s="22">
        <v>1135.1600000000001</v>
      </c>
      <c r="Q47" s="22">
        <v>1347.47</v>
      </c>
      <c r="R47" s="22">
        <v>1286.81</v>
      </c>
    </row>
    <row r="48" spans="1:18" x14ac:dyDescent="0.25">
      <c r="A48" s="26" t="s">
        <v>46</v>
      </c>
      <c r="B48" s="26">
        <v>166</v>
      </c>
      <c r="C48" s="26">
        <v>3</v>
      </c>
      <c r="D48" s="26">
        <v>309</v>
      </c>
      <c r="E48" s="26">
        <f t="shared" si="0"/>
        <v>478</v>
      </c>
      <c r="G48" s="7">
        <v>91.04</v>
      </c>
      <c r="H48" s="7">
        <v>89</v>
      </c>
      <c r="I48" s="7">
        <v>106.5</v>
      </c>
      <c r="J48" s="7">
        <v>100.63</v>
      </c>
      <c r="L48" s="7">
        <v>75.54365</v>
      </c>
      <c r="M48" s="7">
        <v>85.479979999999998</v>
      </c>
      <c r="N48" s="7">
        <v>81.571089999999998</v>
      </c>
      <c r="P48" s="22">
        <v>902.71</v>
      </c>
      <c r="Q48" s="22">
        <v>853.77</v>
      </c>
      <c r="R48" s="22">
        <v>873.02</v>
      </c>
    </row>
    <row r="49" spans="1:18" x14ac:dyDescent="0.25">
      <c r="A49" s="26" t="s">
        <v>47</v>
      </c>
      <c r="B49" s="26">
        <v>84</v>
      </c>
      <c r="C49" s="26">
        <v>0</v>
      </c>
      <c r="D49" s="26">
        <v>387</v>
      </c>
      <c r="E49" s="26">
        <f t="shared" si="0"/>
        <v>471</v>
      </c>
      <c r="G49" s="7">
        <v>149.21</v>
      </c>
      <c r="H49" s="7">
        <v>0</v>
      </c>
      <c r="I49" s="7">
        <v>101.05</v>
      </c>
      <c r="J49" s="7">
        <v>109.78</v>
      </c>
      <c r="L49" s="7">
        <v>764.00456000000008</v>
      </c>
      <c r="M49" s="7">
        <v>307.96664000000004</v>
      </c>
      <c r="N49" s="7">
        <v>390.88263000000001</v>
      </c>
      <c r="P49" s="22">
        <v>4152.1400000000003</v>
      </c>
      <c r="Q49" s="22">
        <v>3158.56</v>
      </c>
      <c r="R49" s="22">
        <v>3339.21</v>
      </c>
    </row>
    <row r="50" spans="1:18" x14ac:dyDescent="0.25">
      <c r="A50" s="26" t="s">
        <v>48</v>
      </c>
      <c r="B50" s="26">
        <v>2105</v>
      </c>
      <c r="C50" s="26">
        <v>130</v>
      </c>
      <c r="D50" s="26">
        <v>8713</v>
      </c>
      <c r="E50" s="26">
        <f t="shared" si="0"/>
        <v>10948</v>
      </c>
      <c r="G50" s="7">
        <v>97.28</v>
      </c>
      <c r="H50" s="7">
        <v>70.97</v>
      </c>
      <c r="I50" s="7">
        <v>96.57</v>
      </c>
      <c r="J50" s="7">
        <v>96.42</v>
      </c>
      <c r="L50" s="7">
        <v>270.12265000000002</v>
      </c>
      <c r="M50" s="7">
        <v>222.52725000000001</v>
      </c>
      <c r="N50" s="7">
        <v>232.37986999999998</v>
      </c>
      <c r="P50" s="22">
        <v>2884.12</v>
      </c>
      <c r="Q50" s="22">
        <v>2372.2199999999998</v>
      </c>
      <c r="R50" s="22">
        <v>2478.19</v>
      </c>
    </row>
    <row r="51" spans="1:18" x14ac:dyDescent="0.25">
      <c r="A51" s="26" t="s">
        <v>49</v>
      </c>
      <c r="B51" s="26">
        <v>974</v>
      </c>
      <c r="C51" s="26">
        <v>32</v>
      </c>
      <c r="D51" s="26">
        <v>3669</v>
      </c>
      <c r="E51" s="26">
        <f t="shared" si="0"/>
        <v>4675</v>
      </c>
      <c r="G51" s="7">
        <v>115.4</v>
      </c>
      <c r="H51" s="7">
        <v>76.86</v>
      </c>
      <c r="I51" s="7">
        <v>117.32</v>
      </c>
      <c r="J51" s="7">
        <v>116.65</v>
      </c>
      <c r="L51" s="7">
        <v>236.98126999999999</v>
      </c>
      <c r="M51" s="7">
        <v>223.04315</v>
      </c>
      <c r="N51" s="7">
        <v>226.077</v>
      </c>
      <c r="P51" s="22">
        <v>2248.56</v>
      </c>
      <c r="Q51" s="22">
        <v>2088.52</v>
      </c>
      <c r="R51" s="22">
        <v>2123.35</v>
      </c>
    </row>
    <row r="52" spans="1:18" x14ac:dyDescent="0.25">
      <c r="A52" s="26"/>
      <c r="B52" s="26"/>
      <c r="C52" s="26"/>
      <c r="D52" s="26"/>
      <c r="E52" s="26"/>
      <c r="G52" s="7"/>
      <c r="H52" s="7"/>
      <c r="I52" s="7"/>
      <c r="J52" s="7"/>
      <c r="L52" s="7"/>
      <c r="M52" s="7"/>
      <c r="N52" s="7"/>
      <c r="P52" s="22"/>
      <c r="Q52" s="22"/>
      <c r="R52" s="22"/>
    </row>
    <row r="53" spans="1:18" x14ac:dyDescent="0.25">
      <c r="A53" s="33" t="s">
        <v>50</v>
      </c>
      <c r="B53" s="26"/>
      <c r="C53" s="26"/>
      <c r="D53" s="26"/>
      <c r="E53" s="26"/>
      <c r="G53" s="7"/>
      <c r="H53" s="7"/>
      <c r="I53" s="7"/>
      <c r="J53" s="7"/>
      <c r="L53" s="7"/>
      <c r="M53" s="7"/>
      <c r="N53" s="7"/>
      <c r="P53" s="22"/>
      <c r="Q53" s="22"/>
      <c r="R53" s="22"/>
    </row>
    <row r="54" spans="1:18" x14ac:dyDescent="0.25">
      <c r="A54" s="26" t="s">
        <v>51</v>
      </c>
      <c r="B54" s="26">
        <v>312</v>
      </c>
      <c r="C54" s="26">
        <v>2</v>
      </c>
      <c r="D54" s="26">
        <v>1424</v>
      </c>
      <c r="E54" s="26">
        <f t="shared" si="0"/>
        <v>1738</v>
      </c>
      <c r="G54" s="7">
        <v>139.28</v>
      </c>
      <c r="H54" s="7">
        <v>84.5</v>
      </c>
      <c r="I54" s="7">
        <v>102.07</v>
      </c>
      <c r="J54" s="7">
        <v>108.41</v>
      </c>
      <c r="L54" s="7">
        <v>476.84770000000003</v>
      </c>
      <c r="M54" s="7">
        <v>229.02645999999999</v>
      </c>
      <c r="N54" s="7">
        <v>271.73644000000002</v>
      </c>
      <c r="P54" s="22">
        <v>3071.12</v>
      </c>
      <c r="Q54" s="22">
        <v>2300.31</v>
      </c>
      <c r="R54" s="22">
        <v>2433.16</v>
      </c>
    </row>
    <row r="55" spans="1:18" x14ac:dyDescent="0.25">
      <c r="A55" s="26" t="s">
        <v>52</v>
      </c>
      <c r="B55" s="26">
        <v>1259</v>
      </c>
      <c r="C55" s="26">
        <v>138</v>
      </c>
      <c r="D55" s="26">
        <v>7952</v>
      </c>
      <c r="E55" s="26">
        <f t="shared" si="0"/>
        <v>9349</v>
      </c>
      <c r="G55" s="7">
        <v>98.13</v>
      </c>
      <c r="H55" s="7">
        <v>66.319999999999993</v>
      </c>
      <c r="I55" s="7">
        <v>89.33</v>
      </c>
      <c r="J55" s="7">
        <v>90.35</v>
      </c>
      <c r="L55" s="7">
        <v>183.04720999999998</v>
      </c>
      <c r="M55" s="7">
        <v>144.89252999999999</v>
      </c>
      <c r="N55" s="7">
        <v>150.27251999999999</v>
      </c>
      <c r="P55" s="22">
        <v>1975.46</v>
      </c>
      <c r="Q55" s="22">
        <v>1772.92</v>
      </c>
      <c r="R55" s="22">
        <v>1801.48</v>
      </c>
    </row>
    <row r="56" spans="1:18" x14ac:dyDescent="0.25">
      <c r="A56" s="26" t="s">
        <v>53</v>
      </c>
      <c r="B56" s="26">
        <v>1145</v>
      </c>
      <c r="C56" s="26">
        <v>25</v>
      </c>
      <c r="D56" s="26">
        <v>3555</v>
      </c>
      <c r="E56" s="26">
        <f t="shared" si="0"/>
        <v>4725</v>
      </c>
      <c r="G56" s="7">
        <v>95.63</v>
      </c>
      <c r="H56" s="7">
        <v>78.67</v>
      </c>
      <c r="I56" s="7">
        <v>98.18</v>
      </c>
      <c r="J56" s="7">
        <v>97.46</v>
      </c>
      <c r="L56" s="7">
        <v>149.11505</v>
      </c>
      <c r="M56" s="7">
        <v>129.28247999999999</v>
      </c>
      <c r="N56" s="7">
        <v>134.26588000000001</v>
      </c>
      <c r="P56" s="22">
        <v>1625.47</v>
      </c>
      <c r="Q56" s="22">
        <v>1413.81</v>
      </c>
      <c r="R56" s="22">
        <v>1466.99</v>
      </c>
    </row>
    <row r="57" spans="1:18" x14ac:dyDescent="0.25">
      <c r="A57" s="26" t="s">
        <v>54</v>
      </c>
      <c r="B57" s="26">
        <v>2621</v>
      </c>
      <c r="C57" s="26">
        <v>122</v>
      </c>
      <c r="D57" s="26">
        <v>10282</v>
      </c>
      <c r="E57" s="26">
        <f t="shared" si="0"/>
        <v>13025</v>
      </c>
      <c r="G57" s="7">
        <v>108.16</v>
      </c>
      <c r="H57" s="7">
        <v>79.7</v>
      </c>
      <c r="I57" s="7">
        <v>101.29</v>
      </c>
      <c r="J57" s="7">
        <v>102.48</v>
      </c>
      <c r="L57" s="7">
        <v>218.05280999999999</v>
      </c>
      <c r="M57" s="7">
        <v>214.02676</v>
      </c>
      <c r="N57" s="7">
        <v>214.87575000000001</v>
      </c>
      <c r="P57" s="22">
        <v>2118.81</v>
      </c>
      <c r="Q57" s="22">
        <v>2257.4299999999998</v>
      </c>
      <c r="R57" s="22">
        <v>2228.1999999999998</v>
      </c>
    </row>
    <row r="58" spans="1:18" x14ac:dyDescent="0.25">
      <c r="A58" s="26" t="s">
        <v>55</v>
      </c>
      <c r="B58" s="26">
        <v>8744</v>
      </c>
      <c r="C58" s="26">
        <v>649</v>
      </c>
      <c r="D58" s="26">
        <v>44099</v>
      </c>
      <c r="E58" s="26">
        <f t="shared" si="0"/>
        <v>53492</v>
      </c>
      <c r="G58" s="7">
        <v>94.6</v>
      </c>
      <c r="H58" s="7">
        <v>69.430000000000007</v>
      </c>
      <c r="I58" s="7">
        <v>88.57</v>
      </c>
      <c r="J58" s="7">
        <v>89.33</v>
      </c>
      <c r="L58" s="7">
        <v>299.82284999999996</v>
      </c>
      <c r="M58" s="7">
        <v>265.39981</v>
      </c>
      <c r="N58" s="7">
        <v>271.51059999999995</v>
      </c>
      <c r="P58" s="22">
        <v>3340.28</v>
      </c>
      <c r="Q58" s="22">
        <v>3065.37</v>
      </c>
      <c r="R58" s="22">
        <v>3114.17</v>
      </c>
    </row>
    <row r="59" spans="1:18" x14ac:dyDescent="0.25">
      <c r="A59" s="26" t="s">
        <v>56</v>
      </c>
      <c r="B59" s="26">
        <v>1863</v>
      </c>
      <c r="C59" s="26">
        <v>27</v>
      </c>
      <c r="D59" s="26">
        <v>6413</v>
      </c>
      <c r="E59" s="26">
        <f t="shared" si="0"/>
        <v>8303</v>
      </c>
      <c r="G59" s="7">
        <v>105.85</v>
      </c>
      <c r="H59" s="7">
        <v>68.739999999999995</v>
      </c>
      <c r="I59" s="7">
        <v>104.73</v>
      </c>
      <c r="J59" s="7">
        <v>104.85</v>
      </c>
      <c r="L59" s="7">
        <v>237.67868999999999</v>
      </c>
      <c r="M59" s="7">
        <v>197.23416</v>
      </c>
      <c r="N59" s="7">
        <v>206.59663</v>
      </c>
      <c r="P59" s="22">
        <v>2487.9899999999998</v>
      </c>
      <c r="Q59" s="22">
        <v>2085.62</v>
      </c>
      <c r="R59" s="22">
        <v>2178.7600000000002</v>
      </c>
    </row>
    <row r="60" spans="1:18" x14ac:dyDescent="0.25">
      <c r="A60" s="26" t="s">
        <v>57</v>
      </c>
      <c r="B60" s="26">
        <v>1229</v>
      </c>
      <c r="C60" s="26">
        <v>103</v>
      </c>
      <c r="D60" s="26">
        <v>3084</v>
      </c>
      <c r="E60" s="26">
        <f t="shared" si="0"/>
        <v>4416</v>
      </c>
      <c r="G60" s="7">
        <v>103.83</v>
      </c>
      <c r="H60" s="7">
        <v>88.46</v>
      </c>
      <c r="I60" s="7">
        <v>105.92</v>
      </c>
      <c r="J60" s="7">
        <v>105.01</v>
      </c>
      <c r="L60" s="7">
        <v>119.49959</v>
      </c>
      <c r="M60" s="7">
        <v>97.515230000000003</v>
      </c>
      <c r="N60" s="7">
        <v>104.12560000000001</v>
      </c>
      <c r="P60" s="22">
        <v>1148.83</v>
      </c>
      <c r="Q60" s="22">
        <v>968.54</v>
      </c>
      <c r="R60" s="22">
        <v>1022.75</v>
      </c>
    </row>
    <row r="61" spans="1:18" x14ac:dyDescent="0.25">
      <c r="A61" s="26" t="s">
        <v>58</v>
      </c>
      <c r="B61" s="26">
        <v>299</v>
      </c>
      <c r="C61" s="26">
        <v>4</v>
      </c>
      <c r="D61" s="26">
        <v>2757</v>
      </c>
      <c r="E61" s="26">
        <f t="shared" si="0"/>
        <v>3060</v>
      </c>
      <c r="G61" s="7">
        <v>97.68</v>
      </c>
      <c r="H61" s="7">
        <v>75</v>
      </c>
      <c r="I61" s="7">
        <v>92.03</v>
      </c>
      <c r="J61" s="7">
        <v>92.51</v>
      </c>
      <c r="L61" s="7">
        <v>81.474589999999992</v>
      </c>
      <c r="M61" s="7">
        <v>91.152619999999999</v>
      </c>
      <c r="N61" s="7">
        <v>90.288579999999996</v>
      </c>
      <c r="P61" s="22">
        <v>893.86</v>
      </c>
      <c r="Q61" s="22">
        <v>1053.8800000000001</v>
      </c>
      <c r="R61" s="22">
        <v>1039.5899999999999</v>
      </c>
    </row>
    <row r="62" spans="1:18" x14ac:dyDescent="0.25">
      <c r="A62" s="26"/>
      <c r="B62" s="26"/>
      <c r="C62" s="26"/>
      <c r="D62" s="26"/>
      <c r="E62" s="26"/>
      <c r="G62" s="7"/>
      <c r="H62" s="7"/>
      <c r="I62" s="7"/>
      <c r="J62" s="7"/>
      <c r="L62" s="7"/>
      <c r="M62" s="7"/>
      <c r="N62" s="7"/>
      <c r="P62" s="22"/>
      <c r="Q62" s="22"/>
      <c r="R62" s="22"/>
    </row>
    <row r="63" spans="1:18" x14ac:dyDescent="0.25">
      <c r="A63" s="33" t="s">
        <v>59</v>
      </c>
      <c r="B63" s="26"/>
      <c r="C63" s="26"/>
      <c r="D63" s="26"/>
      <c r="E63" s="26"/>
      <c r="G63" s="7"/>
      <c r="H63" s="7"/>
      <c r="I63" s="7"/>
      <c r="J63" s="7"/>
      <c r="L63" s="7"/>
      <c r="M63" s="7"/>
      <c r="N63" s="7"/>
      <c r="P63" s="22"/>
      <c r="Q63" s="22"/>
      <c r="R63" s="22"/>
    </row>
    <row r="64" spans="1:18" x14ac:dyDescent="0.25">
      <c r="A64" s="26" t="s">
        <v>60</v>
      </c>
      <c r="B64" s="26">
        <v>11189</v>
      </c>
      <c r="C64" s="26">
        <v>686</v>
      </c>
      <c r="D64" s="26">
        <v>51704</v>
      </c>
      <c r="E64" s="26">
        <f t="shared" si="0"/>
        <v>63579</v>
      </c>
      <c r="G64" s="7">
        <v>95.56</v>
      </c>
      <c r="H64" s="7">
        <v>70.09</v>
      </c>
      <c r="I64" s="7">
        <v>90.73</v>
      </c>
      <c r="J64" s="7">
        <v>91.36</v>
      </c>
      <c r="L64" s="7">
        <v>280.17160999999999</v>
      </c>
      <c r="M64" s="7">
        <v>252.06988000000001</v>
      </c>
      <c r="N64" s="7">
        <v>257.40813000000003</v>
      </c>
      <c r="P64" s="22">
        <v>3098.48</v>
      </c>
      <c r="Q64" s="22">
        <v>2882.05</v>
      </c>
      <c r="R64" s="22">
        <v>2923.17</v>
      </c>
    </row>
    <row r="65" spans="1:18" x14ac:dyDescent="0.25">
      <c r="A65" s="26" t="s">
        <v>61</v>
      </c>
      <c r="B65" s="26">
        <v>2725</v>
      </c>
      <c r="C65" s="26">
        <v>122</v>
      </c>
      <c r="D65" s="26">
        <v>10623</v>
      </c>
      <c r="E65" s="26">
        <f t="shared" si="0"/>
        <v>13470</v>
      </c>
      <c r="G65" s="7">
        <v>109.88</v>
      </c>
      <c r="H65" s="7">
        <v>79.7</v>
      </c>
      <c r="I65" s="7">
        <v>101.44</v>
      </c>
      <c r="J65" s="7">
        <v>102.96</v>
      </c>
      <c r="L65" s="7">
        <v>227.42313000000001</v>
      </c>
      <c r="M65" s="7">
        <v>217.67198999999999</v>
      </c>
      <c r="N65" s="7">
        <v>219.73559</v>
      </c>
      <c r="P65" s="22">
        <v>2155.73</v>
      </c>
      <c r="Q65" s="22">
        <v>2284.48</v>
      </c>
      <c r="R65" s="22">
        <v>2257.23</v>
      </c>
    </row>
    <row r="66" spans="1:18" x14ac:dyDescent="0.25">
      <c r="A66" s="26" t="s">
        <v>62</v>
      </c>
      <c r="B66" s="26">
        <v>1451</v>
      </c>
      <c r="C66" s="26">
        <v>105</v>
      </c>
      <c r="D66" s="26">
        <v>4275</v>
      </c>
      <c r="E66" s="26">
        <f t="shared" si="0"/>
        <v>5831</v>
      </c>
      <c r="G66" s="7">
        <v>108.44</v>
      </c>
      <c r="H66" s="7">
        <v>88.33</v>
      </c>
      <c r="I66" s="7">
        <v>104.53</v>
      </c>
      <c r="J66" s="7">
        <v>105.23</v>
      </c>
      <c r="L66" s="7">
        <v>174.49760000000001</v>
      </c>
      <c r="M66" s="7">
        <v>127.58919</v>
      </c>
      <c r="N66" s="7">
        <v>139.63948000000002</v>
      </c>
      <c r="P66" s="22">
        <v>1434.57</v>
      </c>
      <c r="Q66" s="22">
        <v>1292.68</v>
      </c>
      <c r="R66" s="22">
        <v>1329.13</v>
      </c>
    </row>
    <row r="67" spans="1:18" x14ac:dyDescent="0.25">
      <c r="A67" s="26" t="s">
        <v>63</v>
      </c>
      <c r="B67" s="26">
        <v>2107</v>
      </c>
      <c r="C67" s="26">
        <v>157</v>
      </c>
      <c r="D67" s="26">
        <v>12964</v>
      </c>
      <c r="E67" s="26">
        <f t="shared" si="0"/>
        <v>15228</v>
      </c>
      <c r="G67" s="7">
        <v>102.28</v>
      </c>
      <c r="H67" s="7">
        <v>64.44</v>
      </c>
      <c r="I67" s="7">
        <v>91.72</v>
      </c>
      <c r="J67" s="7">
        <v>93.01</v>
      </c>
      <c r="L67" s="7">
        <v>168.67150000000001</v>
      </c>
      <c r="M67" s="7">
        <v>136.64301</v>
      </c>
      <c r="N67" s="7">
        <v>141.19767999999999</v>
      </c>
      <c r="P67" s="22">
        <v>1801.98</v>
      </c>
      <c r="Q67" s="22">
        <v>1634.83</v>
      </c>
      <c r="R67" s="22">
        <v>1658.6</v>
      </c>
    </row>
    <row r="68" spans="1:18" x14ac:dyDescent="0.25">
      <c r="A68" s="26"/>
      <c r="B68" s="26"/>
      <c r="C68" s="26"/>
      <c r="D68" s="26"/>
      <c r="E68" s="26"/>
      <c r="G68" s="7"/>
      <c r="H68" s="7"/>
      <c r="I68" s="7"/>
      <c r="J68" s="7"/>
      <c r="L68" s="7"/>
      <c r="M68" s="7"/>
      <c r="N68" s="7"/>
      <c r="P68" s="22"/>
      <c r="Q68" s="22"/>
      <c r="R68" s="22"/>
    </row>
    <row r="69" spans="1:18" x14ac:dyDescent="0.25">
      <c r="A69" s="27" t="s">
        <v>64</v>
      </c>
      <c r="B69" s="27">
        <f>SUM(B64:B67)</f>
        <v>17472</v>
      </c>
      <c r="C69" s="27">
        <f>SUM(C64:C67)</f>
        <v>1070</v>
      </c>
      <c r="D69" s="27">
        <f>SUM(D64:D67)</f>
        <v>79566</v>
      </c>
      <c r="E69" s="27">
        <f>SUM(E64:E67)</f>
        <v>98108</v>
      </c>
      <c r="F69" s="9"/>
      <c r="G69" s="10">
        <v>99.54</v>
      </c>
      <c r="H69" s="10">
        <v>72.11</v>
      </c>
      <c r="I69" s="10">
        <v>92.97</v>
      </c>
      <c r="J69" s="10">
        <v>93.93</v>
      </c>
      <c r="K69" s="9"/>
      <c r="L69" s="10">
        <v>251.15907999999999</v>
      </c>
      <c r="M69" s="10">
        <v>222.13797</v>
      </c>
      <c r="N69" s="10">
        <v>227.61654999999999</v>
      </c>
      <c r="O69" s="9"/>
      <c r="P69" s="28">
        <v>2678.9</v>
      </c>
      <c r="Q69" s="28">
        <v>2516.16</v>
      </c>
      <c r="R69" s="28">
        <v>2546.88</v>
      </c>
    </row>
    <row r="71" spans="1:18" x14ac:dyDescent="0.25">
      <c r="A71" s="11" t="s">
        <v>71</v>
      </c>
    </row>
    <row r="72" spans="1:18" x14ac:dyDescent="0.25">
      <c r="A72" s="12" t="s">
        <v>70</v>
      </c>
    </row>
    <row r="73" spans="1:18" x14ac:dyDescent="0.25">
      <c r="A73" s="12" t="s">
        <v>69</v>
      </c>
    </row>
  </sheetData>
  <pageMargins left="0.74803149606299213" right="0.74803149606299213" top="0.39370078740157483" bottom="0" header="0" footer="0"/>
  <pageSetup paperSize="9" scale="4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A855-FB22-400C-A77C-80DE8FEBAB61}">
  <sheetPr>
    <pageSetUpPr fitToPage="1"/>
  </sheetPr>
  <dimension ref="A1:R73"/>
  <sheetViews>
    <sheetView workbookViewId="0"/>
  </sheetViews>
  <sheetFormatPr defaultColWidth="11.453125" defaultRowHeight="11.5" x14ac:dyDescent="0.25"/>
  <cols>
    <col min="1" max="1" width="35.7265625" style="1" customWidth="1"/>
    <col min="2" max="5" width="10.7265625" style="1" customWidth="1"/>
    <col min="6" max="6" width="2.7265625" style="1" customWidth="1"/>
    <col min="7" max="10" width="10.7265625" style="1" customWidth="1"/>
    <col min="11" max="11" width="2.7265625" style="1" customWidth="1"/>
    <col min="12" max="14" width="10.7265625" style="1" customWidth="1"/>
    <col min="15" max="15" width="2.7265625" style="1" customWidth="1"/>
    <col min="16" max="18" width="10.7265625" style="1" customWidth="1"/>
    <col min="19" max="16384" width="11.453125" style="1"/>
  </cols>
  <sheetData>
    <row r="1" spans="1:18" ht="14" x14ac:dyDescent="0.3">
      <c r="A1" s="29" t="s">
        <v>0</v>
      </c>
    </row>
    <row r="2" spans="1:18" ht="13" x14ac:dyDescent="0.3">
      <c r="A2" s="30" t="s">
        <v>76</v>
      </c>
    </row>
    <row r="3" spans="1:18" x14ac:dyDescent="0.25">
      <c r="A3" s="25" t="s">
        <v>73</v>
      </c>
    </row>
    <row r="4" spans="1:18" ht="13.5" x14ac:dyDescent="0.25">
      <c r="B4" s="2" t="s">
        <v>1</v>
      </c>
      <c r="C4" s="3"/>
      <c r="D4" s="3"/>
      <c r="E4" s="3"/>
      <c r="G4" s="13" t="s">
        <v>67</v>
      </c>
      <c r="H4" s="3"/>
      <c r="I4" s="3"/>
      <c r="J4" s="3"/>
      <c r="L4" s="2" t="s">
        <v>65</v>
      </c>
      <c r="M4" s="2"/>
      <c r="N4" s="2"/>
      <c r="P4" s="2" t="s">
        <v>66</v>
      </c>
      <c r="Q4" s="2"/>
      <c r="R4" s="2"/>
    </row>
    <row r="5" spans="1:18" s="6" customFormat="1" ht="23" x14ac:dyDescent="0.25">
      <c r="A5" s="31"/>
      <c r="B5" s="4" t="s">
        <v>2</v>
      </c>
      <c r="C5" s="4" t="s">
        <v>3</v>
      </c>
      <c r="D5" s="4" t="s">
        <v>4</v>
      </c>
      <c r="E5" s="4" t="s">
        <v>5</v>
      </c>
      <c r="F5" s="5"/>
      <c r="G5" s="4" t="s">
        <v>2</v>
      </c>
      <c r="H5" s="4" t="s">
        <v>3</v>
      </c>
      <c r="I5" s="4" t="s">
        <v>4</v>
      </c>
      <c r="J5" s="4" t="s">
        <v>5</v>
      </c>
      <c r="K5" s="5"/>
      <c r="L5" s="4" t="s">
        <v>6</v>
      </c>
      <c r="M5" s="4" t="s">
        <v>4</v>
      </c>
      <c r="N5" s="4" t="s">
        <v>5</v>
      </c>
      <c r="O5" s="5"/>
      <c r="P5" s="4" t="s">
        <v>6</v>
      </c>
      <c r="Q5" s="4" t="s">
        <v>4</v>
      </c>
      <c r="R5" s="4" t="s">
        <v>5</v>
      </c>
    </row>
    <row r="6" spans="1:18" x14ac:dyDescent="0.25">
      <c r="A6" s="32" t="s">
        <v>7</v>
      </c>
      <c r="B6" s="26">
        <v>3091</v>
      </c>
      <c r="C6" s="26">
        <v>217</v>
      </c>
      <c r="D6" s="26">
        <v>13359</v>
      </c>
      <c r="E6" s="26">
        <f>SUM(B6:D6)</f>
        <v>16667</v>
      </c>
      <c r="G6" s="7">
        <v>90.36</v>
      </c>
      <c r="H6" s="7">
        <v>69.77</v>
      </c>
      <c r="I6" s="7">
        <v>79.87</v>
      </c>
      <c r="J6" s="7">
        <v>81.540000000000006</v>
      </c>
      <c r="L6" s="7">
        <v>317.70898999999997</v>
      </c>
      <c r="M6" s="7">
        <v>223.26122000000001</v>
      </c>
      <c r="N6" s="7">
        <v>241.14184</v>
      </c>
      <c r="P6" s="22">
        <v>3516.25</v>
      </c>
      <c r="Q6" s="22">
        <v>2785.35</v>
      </c>
      <c r="R6" s="22">
        <v>2923.73</v>
      </c>
    </row>
    <row r="7" spans="1:18" x14ac:dyDescent="0.25">
      <c r="A7" s="26"/>
      <c r="B7" s="26"/>
      <c r="C7" s="26"/>
      <c r="D7" s="26"/>
      <c r="E7" s="26"/>
      <c r="G7" s="7"/>
      <c r="H7" s="7"/>
      <c r="I7" s="7"/>
      <c r="J7" s="7"/>
      <c r="L7" s="7"/>
      <c r="M7" s="7"/>
      <c r="N7" s="7"/>
      <c r="P7" s="22"/>
      <c r="Q7" s="22"/>
      <c r="R7" s="22"/>
    </row>
    <row r="8" spans="1:18" x14ac:dyDescent="0.25">
      <c r="A8" s="33" t="s">
        <v>8</v>
      </c>
      <c r="B8" s="26"/>
      <c r="C8" s="26"/>
      <c r="D8" s="26"/>
      <c r="E8" s="26"/>
      <c r="G8" s="7"/>
      <c r="H8" s="7"/>
      <c r="I8" s="7"/>
      <c r="J8" s="7"/>
      <c r="L8" s="7"/>
      <c r="M8" s="7"/>
      <c r="N8" s="7"/>
      <c r="P8" s="22"/>
      <c r="Q8" s="22"/>
      <c r="R8" s="22"/>
    </row>
    <row r="9" spans="1:18" x14ac:dyDescent="0.25">
      <c r="A9" s="26" t="s">
        <v>9</v>
      </c>
      <c r="B9" s="26">
        <v>13</v>
      </c>
      <c r="C9" s="26">
        <v>0</v>
      </c>
      <c r="D9" s="26">
        <v>401</v>
      </c>
      <c r="E9" s="26">
        <f t="shared" ref="E9:E67" si="0">SUM(B9:D9)</f>
        <v>414</v>
      </c>
      <c r="G9" s="7">
        <v>109.18</v>
      </c>
      <c r="H9" s="7">
        <v>0</v>
      </c>
      <c r="I9" s="7">
        <v>101.7</v>
      </c>
      <c r="J9" s="7">
        <v>101.93</v>
      </c>
      <c r="L9" s="7">
        <v>131.33635999999998</v>
      </c>
      <c r="M9" s="7">
        <v>104.75221999999999</v>
      </c>
      <c r="N9" s="7">
        <v>105.5578</v>
      </c>
      <c r="P9" s="22">
        <v>1192.6400000000001</v>
      </c>
      <c r="Q9" s="22">
        <v>1145.22</v>
      </c>
      <c r="R9" s="22">
        <v>1146.6500000000001</v>
      </c>
    </row>
    <row r="10" spans="1:18" x14ac:dyDescent="0.25">
      <c r="A10" s="26" t="s">
        <v>10</v>
      </c>
      <c r="B10" s="26">
        <v>298</v>
      </c>
      <c r="C10" s="26">
        <v>12</v>
      </c>
      <c r="D10" s="26">
        <v>3123</v>
      </c>
      <c r="E10" s="26">
        <f t="shared" si="0"/>
        <v>3433</v>
      </c>
      <c r="G10" s="7">
        <v>120.09</v>
      </c>
      <c r="H10" s="7">
        <v>119</v>
      </c>
      <c r="I10" s="7">
        <v>92.59</v>
      </c>
      <c r="J10" s="7">
        <v>95.14</v>
      </c>
      <c r="L10" s="7">
        <v>226.79660000000001</v>
      </c>
      <c r="M10" s="7">
        <v>202.36193</v>
      </c>
      <c r="N10" s="7">
        <v>204.59959000000001</v>
      </c>
      <c r="P10" s="22">
        <v>1905.52</v>
      </c>
      <c r="Q10" s="22">
        <v>2417.0100000000002</v>
      </c>
      <c r="R10" s="22">
        <v>2370.17</v>
      </c>
    </row>
    <row r="11" spans="1:18" x14ac:dyDescent="0.25">
      <c r="A11" s="26" t="s">
        <v>11</v>
      </c>
      <c r="B11" s="26">
        <v>328</v>
      </c>
      <c r="C11" s="26">
        <v>5</v>
      </c>
      <c r="D11" s="26">
        <v>927</v>
      </c>
      <c r="E11" s="26">
        <f t="shared" si="0"/>
        <v>1260</v>
      </c>
      <c r="G11" s="7">
        <v>113.67</v>
      </c>
      <c r="H11" s="7">
        <v>94.4</v>
      </c>
      <c r="I11" s="7">
        <v>113.51</v>
      </c>
      <c r="J11" s="7">
        <v>113.47</v>
      </c>
      <c r="L11" s="7">
        <v>174.80564000000001</v>
      </c>
      <c r="M11" s="7">
        <v>155.69019</v>
      </c>
      <c r="N11" s="7">
        <v>160.93825000000001</v>
      </c>
      <c r="P11" s="22">
        <v>1765.27</v>
      </c>
      <c r="Q11" s="22">
        <v>1487.02</v>
      </c>
      <c r="R11" s="22">
        <v>1563.42</v>
      </c>
    </row>
    <row r="12" spans="1:18" x14ac:dyDescent="0.25">
      <c r="A12" s="26" t="s">
        <v>12</v>
      </c>
      <c r="B12" s="26">
        <v>68</v>
      </c>
      <c r="C12" s="26">
        <v>1</v>
      </c>
      <c r="D12" s="26">
        <v>130</v>
      </c>
      <c r="E12" s="26">
        <f t="shared" si="0"/>
        <v>199</v>
      </c>
      <c r="G12" s="7">
        <v>113.75</v>
      </c>
      <c r="H12" s="7">
        <v>92</v>
      </c>
      <c r="I12" s="7">
        <v>105.49</v>
      </c>
      <c r="J12" s="7">
        <v>107.31</v>
      </c>
      <c r="L12" s="7">
        <v>180.78470000000002</v>
      </c>
      <c r="M12" s="7">
        <v>141.46177</v>
      </c>
      <c r="N12" s="7">
        <v>150.89927</v>
      </c>
      <c r="P12" s="22">
        <v>1466.8</v>
      </c>
      <c r="Q12" s="22">
        <v>1425.22</v>
      </c>
      <c r="R12" s="22">
        <v>1435.2</v>
      </c>
    </row>
    <row r="13" spans="1:18" x14ac:dyDescent="0.25">
      <c r="A13" s="26" t="s">
        <v>13</v>
      </c>
      <c r="B13" s="26">
        <v>1</v>
      </c>
      <c r="C13" s="26">
        <v>0</v>
      </c>
      <c r="D13" s="26">
        <v>90</v>
      </c>
      <c r="E13" s="26">
        <f t="shared" si="0"/>
        <v>91</v>
      </c>
      <c r="G13" s="7">
        <v>0</v>
      </c>
      <c r="H13" s="7">
        <v>0</v>
      </c>
      <c r="I13" s="7">
        <v>76.290000000000006</v>
      </c>
      <c r="J13" s="7">
        <v>76.290000000000006</v>
      </c>
      <c r="L13" s="7">
        <v>0</v>
      </c>
      <c r="M13" s="7">
        <v>99.347839999999991</v>
      </c>
      <c r="N13" s="7">
        <v>99.347839999999991</v>
      </c>
      <c r="P13" s="22">
        <v>0</v>
      </c>
      <c r="Q13" s="22">
        <v>1487.13</v>
      </c>
      <c r="R13" s="22">
        <v>1487.13</v>
      </c>
    </row>
    <row r="14" spans="1:18" x14ac:dyDescent="0.25">
      <c r="A14" s="26" t="s">
        <v>14</v>
      </c>
      <c r="B14" s="26">
        <v>222</v>
      </c>
      <c r="C14" s="26">
        <v>7</v>
      </c>
      <c r="D14" s="26">
        <v>1086</v>
      </c>
      <c r="E14" s="26">
        <f t="shared" si="0"/>
        <v>1315</v>
      </c>
      <c r="G14" s="7">
        <v>97.12</v>
      </c>
      <c r="H14" s="7">
        <v>78.400000000000006</v>
      </c>
      <c r="I14" s="7">
        <v>109.67</v>
      </c>
      <c r="J14" s="7">
        <v>107.58</v>
      </c>
      <c r="L14" s="7">
        <v>124.46659</v>
      </c>
      <c r="M14" s="7">
        <v>143.42995999999999</v>
      </c>
      <c r="N14" s="7">
        <v>140.37523000000002</v>
      </c>
      <c r="P14" s="22">
        <v>1372.01</v>
      </c>
      <c r="Q14" s="22">
        <v>1430.53</v>
      </c>
      <c r="R14" s="22">
        <v>1421.1</v>
      </c>
    </row>
    <row r="15" spans="1:18" x14ac:dyDescent="0.25">
      <c r="A15" s="26" t="s">
        <v>15</v>
      </c>
      <c r="B15" s="26">
        <v>650</v>
      </c>
      <c r="C15" s="26">
        <v>12</v>
      </c>
      <c r="D15" s="26">
        <v>1455</v>
      </c>
      <c r="E15" s="26">
        <f t="shared" si="0"/>
        <v>2117</v>
      </c>
      <c r="G15" s="7">
        <v>93.14</v>
      </c>
      <c r="H15" s="7">
        <v>82.3</v>
      </c>
      <c r="I15" s="7">
        <v>95.25</v>
      </c>
      <c r="J15" s="7">
        <v>94.54</v>
      </c>
      <c r="L15" s="7">
        <v>102.70435999999999</v>
      </c>
      <c r="M15" s="7">
        <v>119.3917</v>
      </c>
      <c r="N15" s="7">
        <v>114.13692</v>
      </c>
      <c r="P15" s="22">
        <v>1174.8599999999999</v>
      </c>
      <c r="Q15" s="22">
        <v>1330.63</v>
      </c>
      <c r="R15" s="22">
        <v>1281.58</v>
      </c>
    </row>
    <row r="16" spans="1:18" x14ac:dyDescent="0.25">
      <c r="A16" s="26" t="s">
        <v>16</v>
      </c>
      <c r="B16" s="26">
        <v>209</v>
      </c>
      <c r="C16" s="26">
        <v>49</v>
      </c>
      <c r="D16" s="26">
        <v>2867</v>
      </c>
      <c r="E16" s="26">
        <f t="shared" si="0"/>
        <v>3125</v>
      </c>
      <c r="G16" s="7">
        <v>106.61</v>
      </c>
      <c r="H16" s="7">
        <v>64.13</v>
      </c>
      <c r="I16" s="7">
        <v>91.38</v>
      </c>
      <c r="J16" s="7">
        <v>91.97</v>
      </c>
      <c r="L16" s="7">
        <v>223.61026000000001</v>
      </c>
      <c r="M16" s="7">
        <v>149.57729999999998</v>
      </c>
      <c r="N16" s="7">
        <v>154.88175000000001</v>
      </c>
      <c r="P16" s="22">
        <v>2163.7800000000002</v>
      </c>
      <c r="Q16" s="22">
        <v>1739.89</v>
      </c>
      <c r="R16" s="22">
        <v>1770.27</v>
      </c>
    </row>
    <row r="17" spans="1:18" x14ac:dyDescent="0.25">
      <c r="A17" s="26" t="s">
        <v>17</v>
      </c>
      <c r="B17" s="26">
        <v>159</v>
      </c>
      <c r="C17" s="26">
        <v>1</v>
      </c>
      <c r="D17" s="26">
        <v>1003</v>
      </c>
      <c r="E17" s="26">
        <f t="shared" si="0"/>
        <v>1163</v>
      </c>
      <c r="G17" s="7">
        <v>90.64</v>
      </c>
      <c r="H17" s="7">
        <v>116</v>
      </c>
      <c r="I17" s="7">
        <v>97.77</v>
      </c>
      <c r="J17" s="7">
        <v>96.9</v>
      </c>
      <c r="L17" s="7">
        <v>78.717399999999998</v>
      </c>
      <c r="M17" s="7">
        <v>110.41186</v>
      </c>
      <c r="N17" s="7">
        <v>106.44177999999999</v>
      </c>
      <c r="P17" s="22">
        <v>963.16</v>
      </c>
      <c r="Q17" s="22">
        <v>1174.76</v>
      </c>
      <c r="R17" s="22">
        <v>1148.25</v>
      </c>
    </row>
    <row r="18" spans="1:18" x14ac:dyDescent="0.25">
      <c r="A18" s="26" t="s">
        <v>18</v>
      </c>
      <c r="B18" s="26">
        <v>662</v>
      </c>
      <c r="C18" s="26">
        <v>3</v>
      </c>
      <c r="D18" s="26">
        <v>2313</v>
      </c>
      <c r="E18" s="26">
        <f t="shared" si="0"/>
        <v>2978</v>
      </c>
      <c r="G18" s="7">
        <v>105.82</v>
      </c>
      <c r="H18" s="7">
        <v>99</v>
      </c>
      <c r="I18" s="7">
        <v>114.59</v>
      </c>
      <c r="J18" s="7">
        <v>112.58</v>
      </c>
      <c r="L18" s="7">
        <v>241.54654000000002</v>
      </c>
      <c r="M18" s="7">
        <v>288.09709000000004</v>
      </c>
      <c r="N18" s="7">
        <v>277.40613999999999</v>
      </c>
      <c r="P18" s="22">
        <v>2310.23</v>
      </c>
      <c r="Q18" s="22">
        <v>2656.25</v>
      </c>
      <c r="R18" s="22">
        <v>2576.7800000000002</v>
      </c>
    </row>
    <row r="19" spans="1:18" x14ac:dyDescent="0.25">
      <c r="A19" s="26" t="s">
        <v>19</v>
      </c>
      <c r="B19" s="26">
        <v>1566</v>
      </c>
      <c r="C19" s="26">
        <v>126</v>
      </c>
      <c r="D19" s="26">
        <v>6774</v>
      </c>
      <c r="E19" s="26">
        <f t="shared" si="0"/>
        <v>8466</v>
      </c>
      <c r="G19" s="7">
        <v>102.74</v>
      </c>
      <c r="H19" s="7">
        <v>74.48</v>
      </c>
      <c r="I19" s="7">
        <v>90.39</v>
      </c>
      <c r="J19" s="7">
        <v>92.09</v>
      </c>
      <c r="L19" s="7">
        <v>329.43270000000001</v>
      </c>
      <c r="M19" s="7">
        <v>239.78244000000001</v>
      </c>
      <c r="N19" s="7">
        <v>255.1533</v>
      </c>
      <c r="P19" s="22">
        <v>3429.64</v>
      </c>
      <c r="Q19" s="22">
        <v>2788.24</v>
      </c>
      <c r="R19" s="22">
        <v>2898.21</v>
      </c>
    </row>
    <row r="20" spans="1:18" x14ac:dyDescent="0.25">
      <c r="A20" s="26" t="s">
        <v>20</v>
      </c>
      <c r="B20" s="26">
        <v>482</v>
      </c>
      <c r="C20" s="26">
        <v>13</v>
      </c>
      <c r="D20" s="26">
        <v>2135</v>
      </c>
      <c r="E20" s="26">
        <f t="shared" si="0"/>
        <v>2630</v>
      </c>
      <c r="G20" s="7">
        <v>113.78</v>
      </c>
      <c r="H20" s="7">
        <v>56.15</v>
      </c>
      <c r="I20" s="7">
        <v>98.03</v>
      </c>
      <c r="J20" s="7">
        <v>100.68</v>
      </c>
      <c r="L20" s="7">
        <v>173.00529</v>
      </c>
      <c r="M20" s="7">
        <v>155.39848999999998</v>
      </c>
      <c r="N20" s="7">
        <v>158.66739000000001</v>
      </c>
      <c r="P20" s="22">
        <v>1807.01</v>
      </c>
      <c r="Q20" s="22">
        <v>1792.13</v>
      </c>
      <c r="R20" s="22">
        <v>1794.89</v>
      </c>
    </row>
    <row r="21" spans="1:18" x14ac:dyDescent="0.25">
      <c r="A21" s="26" t="s">
        <v>21</v>
      </c>
      <c r="B21" s="26">
        <v>2662</v>
      </c>
      <c r="C21" s="26">
        <v>220</v>
      </c>
      <c r="D21" s="26">
        <v>18788</v>
      </c>
      <c r="E21" s="26">
        <f t="shared" si="0"/>
        <v>21670</v>
      </c>
      <c r="G21" s="7">
        <v>81.150000000000006</v>
      </c>
      <c r="H21" s="7">
        <v>68.400000000000006</v>
      </c>
      <c r="I21" s="7">
        <v>75.16</v>
      </c>
      <c r="J21" s="7">
        <v>75.83</v>
      </c>
      <c r="L21" s="7">
        <v>363.04340999999999</v>
      </c>
      <c r="M21" s="7">
        <v>304.02812</v>
      </c>
      <c r="N21" s="7">
        <v>312.37709999999998</v>
      </c>
      <c r="P21" s="22">
        <v>4250</v>
      </c>
      <c r="Q21" s="22">
        <v>3774.56</v>
      </c>
      <c r="R21" s="22">
        <v>3841.82</v>
      </c>
    </row>
    <row r="22" spans="1:18" x14ac:dyDescent="0.25">
      <c r="A22" s="26" t="s">
        <v>22</v>
      </c>
      <c r="B22" s="26">
        <v>16</v>
      </c>
      <c r="C22" s="26">
        <v>0</v>
      </c>
      <c r="D22" s="26">
        <v>391</v>
      </c>
      <c r="E22" s="26">
        <f t="shared" si="0"/>
        <v>407</v>
      </c>
      <c r="G22" s="7">
        <v>84.81</v>
      </c>
      <c r="H22" s="7">
        <v>0</v>
      </c>
      <c r="I22" s="7">
        <v>86.5</v>
      </c>
      <c r="J22" s="7">
        <v>86.43</v>
      </c>
      <c r="L22" s="7">
        <v>96.001869999999997</v>
      </c>
      <c r="M22" s="7">
        <v>93.696070000000006</v>
      </c>
      <c r="N22" s="7">
        <v>93.793149999999997</v>
      </c>
      <c r="P22" s="22">
        <v>1172.6500000000001</v>
      </c>
      <c r="Q22" s="22">
        <v>1173.1600000000001</v>
      </c>
      <c r="R22" s="22">
        <v>1173.1400000000001</v>
      </c>
    </row>
    <row r="23" spans="1:18" x14ac:dyDescent="0.25">
      <c r="A23" s="26" t="s">
        <v>23</v>
      </c>
      <c r="B23" s="26">
        <v>140</v>
      </c>
      <c r="C23" s="26">
        <v>3</v>
      </c>
      <c r="D23" s="26">
        <v>400</v>
      </c>
      <c r="E23" s="26">
        <f t="shared" si="0"/>
        <v>543</v>
      </c>
      <c r="G23" s="7">
        <v>143.12</v>
      </c>
      <c r="H23" s="7">
        <v>84.5</v>
      </c>
      <c r="I23" s="7">
        <v>107.94</v>
      </c>
      <c r="J23" s="7">
        <v>116.84</v>
      </c>
      <c r="L23" s="7">
        <v>413.79300000000001</v>
      </c>
      <c r="M23" s="7">
        <v>327.96012999999999</v>
      </c>
      <c r="N23" s="7">
        <v>350.15828000000005</v>
      </c>
      <c r="P23" s="22">
        <v>2953.03</v>
      </c>
      <c r="Q23" s="22">
        <v>3140.99</v>
      </c>
      <c r="R23" s="22">
        <v>3092.38</v>
      </c>
    </row>
    <row r="24" spans="1:18" x14ac:dyDescent="0.25">
      <c r="A24" s="26" t="s">
        <v>24</v>
      </c>
      <c r="B24" s="26">
        <v>7</v>
      </c>
      <c r="C24" s="26">
        <v>0</v>
      </c>
      <c r="D24" s="26">
        <v>129</v>
      </c>
      <c r="E24" s="26">
        <f t="shared" si="0"/>
        <v>136</v>
      </c>
      <c r="G24" s="7">
        <v>130.6</v>
      </c>
      <c r="H24" s="7">
        <v>0</v>
      </c>
      <c r="I24" s="7">
        <v>135.62</v>
      </c>
      <c r="J24" s="7">
        <v>135.36000000000001</v>
      </c>
      <c r="L24" s="7">
        <v>129.19588999999999</v>
      </c>
      <c r="M24" s="7">
        <v>109.84925</v>
      </c>
      <c r="N24" s="7">
        <v>110.94849000000001</v>
      </c>
      <c r="P24" s="22">
        <v>878.82</v>
      </c>
      <c r="Q24" s="22">
        <v>964.26</v>
      </c>
      <c r="R24" s="22">
        <v>959.41</v>
      </c>
    </row>
    <row r="25" spans="1:18" x14ac:dyDescent="0.25">
      <c r="A25" s="26" t="s">
        <v>25</v>
      </c>
      <c r="B25" s="26">
        <v>611</v>
      </c>
      <c r="C25" s="26">
        <v>2</v>
      </c>
      <c r="D25" s="26">
        <v>1882</v>
      </c>
      <c r="E25" s="26">
        <f t="shared" si="0"/>
        <v>2495</v>
      </c>
      <c r="G25" s="7">
        <v>102.64</v>
      </c>
      <c r="H25" s="7">
        <v>73.5</v>
      </c>
      <c r="I25" s="7">
        <v>102.17</v>
      </c>
      <c r="J25" s="7">
        <v>102.26</v>
      </c>
      <c r="L25" s="7">
        <v>332.99559999999997</v>
      </c>
      <c r="M25" s="7">
        <v>287.70600000000002</v>
      </c>
      <c r="N25" s="7">
        <v>299.41451000000001</v>
      </c>
      <c r="P25" s="22">
        <v>3430.49</v>
      </c>
      <c r="Q25" s="22">
        <v>3060.91</v>
      </c>
      <c r="R25" s="22">
        <v>3156.46</v>
      </c>
    </row>
    <row r="26" spans="1:18" x14ac:dyDescent="0.25">
      <c r="A26" s="26" t="s">
        <v>26</v>
      </c>
      <c r="B26" s="26">
        <v>21</v>
      </c>
      <c r="C26" s="26">
        <v>0</v>
      </c>
      <c r="D26" s="26">
        <v>168</v>
      </c>
      <c r="E26" s="26">
        <f t="shared" si="0"/>
        <v>189</v>
      </c>
      <c r="G26" s="7">
        <v>148.80000000000001</v>
      </c>
      <c r="H26" s="7">
        <v>0</v>
      </c>
      <c r="I26" s="7">
        <v>118.1</v>
      </c>
      <c r="J26" s="7">
        <v>122.36</v>
      </c>
      <c r="L26" s="7">
        <v>112.3135</v>
      </c>
      <c r="M26" s="7">
        <v>66.189700000000002</v>
      </c>
      <c r="N26" s="7">
        <v>72.874309999999994</v>
      </c>
      <c r="P26" s="22">
        <v>887.6</v>
      </c>
      <c r="Q26" s="22">
        <v>614.67999999999995</v>
      </c>
      <c r="R26" s="22">
        <v>654.23</v>
      </c>
    </row>
    <row r="27" spans="1:18" x14ac:dyDescent="0.25">
      <c r="A27" s="26" t="s">
        <v>27</v>
      </c>
      <c r="B27" s="26">
        <v>179</v>
      </c>
      <c r="C27" s="26">
        <v>9</v>
      </c>
      <c r="D27" s="26">
        <v>403</v>
      </c>
      <c r="E27" s="26">
        <f t="shared" si="0"/>
        <v>591</v>
      </c>
      <c r="G27" s="7">
        <v>106.19</v>
      </c>
      <c r="H27" s="7">
        <v>71</v>
      </c>
      <c r="I27" s="7">
        <v>92.15</v>
      </c>
      <c r="J27" s="7">
        <v>96.04</v>
      </c>
      <c r="L27" s="7">
        <v>140.22692000000001</v>
      </c>
      <c r="M27" s="7">
        <v>130.10697999999999</v>
      </c>
      <c r="N27" s="7">
        <v>133.38292000000001</v>
      </c>
      <c r="P27" s="22">
        <v>1473.13</v>
      </c>
      <c r="Q27" s="22">
        <v>1419.74</v>
      </c>
      <c r="R27" s="22">
        <v>1437.02</v>
      </c>
    </row>
    <row r="28" spans="1:18" x14ac:dyDescent="0.25">
      <c r="A28" s="26" t="s">
        <v>28</v>
      </c>
      <c r="B28" s="26">
        <v>843</v>
      </c>
      <c r="C28" s="26">
        <v>72</v>
      </c>
      <c r="D28" s="26">
        <v>1433</v>
      </c>
      <c r="E28" s="26">
        <f t="shared" si="0"/>
        <v>2348</v>
      </c>
      <c r="G28" s="7">
        <v>97.5</v>
      </c>
      <c r="H28" s="7">
        <v>81.61</v>
      </c>
      <c r="I28" s="7">
        <v>97.96</v>
      </c>
      <c r="J28" s="7">
        <v>97.3</v>
      </c>
      <c r="L28" s="7">
        <v>228.64266000000001</v>
      </c>
      <c r="M28" s="7">
        <v>192.16245000000001</v>
      </c>
      <c r="N28" s="7">
        <v>206.87638000000001</v>
      </c>
      <c r="P28" s="22">
        <v>2440.39</v>
      </c>
      <c r="Q28" s="22">
        <v>1984.49</v>
      </c>
      <c r="R28" s="22">
        <v>2168.38</v>
      </c>
    </row>
    <row r="29" spans="1:18" x14ac:dyDescent="0.25">
      <c r="A29" s="26" t="s">
        <v>72</v>
      </c>
      <c r="B29" s="26">
        <v>8</v>
      </c>
      <c r="C29" s="26">
        <v>0</v>
      </c>
      <c r="D29" s="26">
        <v>47</v>
      </c>
      <c r="E29" s="26">
        <f t="shared" si="0"/>
        <v>55</v>
      </c>
      <c r="G29" s="7">
        <v>178.28</v>
      </c>
      <c r="H29" s="7">
        <v>0</v>
      </c>
      <c r="I29" s="7">
        <v>98.39</v>
      </c>
      <c r="J29" s="7">
        <v>110.04</v>
      </c>
      <c r="L29" s="7">
        <v>238.63314000000003</v>
      </c>
      <c r="M29" s="7">
        <v>108.33266999999999</v>
      </c>
      <c r="N29" s="7">
        <v>127.33482000000001</v>
      </c>
      <c r="P29" s="22">
        <v>1349.08</v>
      </c>
      <c r="Q29" s="22">
        <v>1141.3399999999999</v>
      </c>
      <c r="R29" s="22">
        <v>1171.6400000000001</v>
      </c>
    </row>
    <row r="30" spans="1:18" x14ac:dyDescent="0.25">
      <c r="A30" s="26" t="s">
        <v>29</v>
      </c>
      <c r="B30" s="26">
        <v>1085</v>
      </c>
      <c r="C30" s="26">
        <v>54</v>
      </c>
      <c r="D30" s="26">
        <v>4046</v>
      </c>
      <c r="E30" s="26">
        <f t="shared" si="0"/>
        <v>5185</v>
      </c>
      <c r="G30" s="7">
        <v>98.99</v>
      </c>
      <c r="H30" s="7">
        <v>63.96</v>
      </c>
      <c r="I30" s="7">
        <v>103.9</v>
      </c>
      <c r="J30" s="7">
        <v>102.44</v>
      </c>
      <c r="L30" s="7">
        <v>270.26371</v>
      </c>
      <c r="M30" s="7">
        <v>248.03071</v>
      </c>
      <c r="N30" s="7">
        <v>252.71678</v>
      </c>
      <c r="P30" s="22">
        <v>2836.34</v>
      </c>
      <c r="Q30" s="22">
        <v>2506.86</v>
      </c>
      <c r="R30" s="22">
        <v>2576.3000000000002</v>
      </c>
    </row>
    <row r="31" spans="1:18" x14ac:dyDescent="0.25">
      <c r="A31" s="26" t="s">
        <v>68</v>
      </c>
      <c r="B31" s="26">
        <v>37</v>
      </c>
      <c r="C31" s="26">
        <v>0</v>
      </c>
      <c r="D31" s="26">
        <v>105</v>
      </c>
      <c r="E31" s="26">
        <f t="shared" si="0"/>
        <v>142</v>
      </c>
      <c r="G31" s="7">
        <v>144.30000000000001</v>
      </c>
      <c r="H31" s="7">
        <v>0</v>
      </c>
      <c r="I31" s="7">
        <v>134.91999999999999</v>
      </c>
      <c r="J31" s="7">
        <v>137.34</v>
      </c>
      <c r="L31" s="7">
        <v>176.96912</v>
      </c>
      <c r="M31" s="7">
        <v>170.76652999999999</v>
      </c>
      <c r="N31" s="7">
        <v>172.37823</v>
      </c>
      <c r="P31" s="22">
        <v>1355.32</v>
      </c>
      <c r="Q31" s="22">
        <v>1414.11</v>
      </c>
      <c r="R31" s="22">
        <v>1398.83</v>
      </c>
    </row>
    <row r="32" spans="1:18" x14ac:dyDescent="0.25">
      <c r="A32" s="26" t="s">
        <v>30</v>
      </c>
      <c r="B32" s="26">
        <v>80</v>
      </c>
      <c r="C32" s="26">
        <v>0</v>
      </c>
      <c r="D32" s="26">
        <v>1452</v>
      </c>
      <c r="E32" s="26">
        <f t="shared" si="0"/>
        <v>1532</v>
      </c>
      <c r="G32" s="7">
        <v>83</v>
      </c>
      <c r="H32" s="7">
        <v>0</v>
      </c>
      <c r="I32" s="7">
        <v>85.41</v>
      </c>
      <c r="J32" s="7">
        <v>85.29</v>
      </c>
      <c r="L32" s="7">
        <v>60.579900000000002</v>
      </c>
      <c r="M32" s="7">
        <v>77.241479999999996</v>
      </c>
      <c r="N32" s="7">
        <v>76.398619999999994</v>
      </c>
      <c r="P32" s="22">
        <v>766.99</v>
      </c>
      <c r="Q32" s="22">
        <v>963.2</v>
      </c>
      <c r="R32" s="22">
        <v>953.28</v>
      </c>
    </row>
    <row r="33" spans="1:18" x14ac:dyDescent="0.25">
      <c r="A33" s="26" t="s">
        <v>31</v>
      </c>
      <c r="B33" s="26">
        <v>25</v>
      </c>
      <c r="C33" s="26">
        <v>0</v>
      </c>
      <c r="D33" s="26">
        <v>336</v>
      </c>
      <c r="E33" s="26">
        <f t="shared" si="0"/>
        <v>361</v>
      </c>
      <c r="G33" s="7">
        <v>110.68</v>
      </c>
      <c r="H33" s="7">
        <v>0</v>
      </c>
      <c r="I33" s="7">
        <v>103.05</v>
      </c>
      <c r="J33" s="7">
        <v>103.61</v>
      </c>
      <c r="L33" s="7">
        <v>105.09542999999999</v>
      </c>
      <c r="M33" s="7">
        <v>79.179410000000004</v>
      </c>
      <c r="N33" s="7">
        <v>81.208429999999993</v>
      </c>
      <c r="P33" s="22">
        <v>978.52</v>
      </c>
      <c r="Q33" s="22">
        <v>802.34</v>
      </c>
      <c r="R33" s="22">
        <v>816.13</v>
      </c>
    </row>
    <row r="34" spans="1:18" x14ac:dyDescent="0.25">
      <c r="A34" s="26" t="s">
        <v>32</v>
      </c>
      <c r="B34" s="26">
        <v>378</v>
      </c>
      <c r="C34" s="26">
        <v>6</v>
      </c>
      <c r="D34" s="26">
        <v>1180</v>
      </c>
      <c r="E34" s="26">
        <f t="shared" si="0"/>
        <v>1564</v>
      </c>
      <c r="G34" s="7">
        <v>97.29</v>
      </c>
      <c r="H34" s="7">
        <v>78</v>
      </c>
      <c r="I34" s="7">
        <v>102.81</v>
      </c>
      <c r="J34" s="7">
        <v>101.33</v>
      </c>
      <c r="L34" s="7">
        <v>210.80302</v>
      </c>
      <c r="M34" s="7">
        <v>143.88122000000001</v>
      </c>
      <c r="N34" s="7">
        <v>160.86281</v>
      </c>
      <c r="P34" s="22">
        <v>2233.4</v>
      </c>
      <c r="Q34" s="22">
        <v>1523.2</v>
      </c>
      <c r="R34" s="22">
        <v>1703.41</v>
      </c>
    </row>
    <row r="35" spans="1:18" x14ac:dyDescent="0.25">
      <c r="A35" s="26" t="s">
        <v>33</v>
      </c>
      <c r="B35" s="26">
        <v>4</v>
      </c>
      <c r="C35" s="26">
        <v>0</v>
      </c>
      <c r="D35" s="26">
        <v>183</v>
      </c>
      <c r="E35" s="26">
        <f t="shared" si="0"/>
        <v>187</v>
      </c>
      <c r="G35" s="7">
        <v>59.25</v>
      </c>
      <c r="H35" s="7">
        <v>0</v>
      </c>
      <c r="I35" s="7">
        <v>100.64</v>
      </c>
      <c r="J35" s="7">
        <v>99.53</v>
      </c>
      <c r="L35" s="7">
        <v>85.325000000000003</v>
      </c>
      <c r="M35" s="7">
        <v>84.750240000000005</v>
      </c>
      <c r="N35" s="7">
        <v>84.76567</v>
      </c>
      <c r="P35" s="22">
        <v>1430.95</v>
      </c>
      <c r="Q35" s="22">
        <v>902.07</v>
      </c>
      <c r="R35" s="22">
        <v>916.27</v>
      </c>
    </row>
    <row r="36" spans="1:18" x14ac:dyDescent="0.25">
      <c r="A36" s="26" t="s">
        <v>34</v>
      </c>
      <c r="B36" s="26">
        <v>0</v>
      </c>
      <c r="C36" s="26">
        <v>0</v>
      </c>
      <c r="D36" s="26">
        <v>154</v>
      </c>
      <c r="E36" s="26">
        <f t="shared" si="0"/>
        <v>154</v>
      </c>
      <c r="G36" s="7">
        <v>0</v>
      </c>
      <c r="H36" s="7">
        <v>0</v>
      </c>
      <c r="I36" s="7">
        <v>94.76</v>
      </c>
      <c r="J36" s="7">
        <v>94.76</v>
      </c>
      <c r="L36" s="7">
        <v>0</v>
      </c>
      <c r="M36" s="7">
        <v>116.97266</v>
      </c>
      <c r="N36" s="7">
        <v>116.97266</v>
      </c>
      <c r="P36" s="22">
        <v>0</v>
      </c>
      <c r="Q36" s="22">
        <v>1469.96</v>
      </c>
      <c r="R36" s="22">
        <v>1469.96</v>
      </c>
    </row>
    <row r="37" spans="1:18" x14ac:dyDescent="0.25">
      <c r="A37" s="26" t="s">
        <v>35</v>
      </c>
      <c r="B37" s="26">
        <v>52</v>
      </c>
      <c r="C37" s="26">
        <v>7</v>
      </c>
      <c r="D37" s="26">
        <v>186</v>
      </c>
      <c r="E37" s="26">
        <f t="shared" si="0"/>
        <v>245</v>
      </c>
      <c r="G37" s="7">
        <v>156.02000000000001</v>
      </c>
      <c r="H37" s="7">
        <v>89</v>
      </c>
      <c r="I37" s="7">
        <v>121.74</v>
      </c>
      <c r="J37" s="7">
        <v>128.27000000000001</v>
      </c>
      <c r="L37" s="7">
        <v>204.14438000000001</v>
      </c>
      <c r="M37" s="7">
        <v>181.40526</v>
      </c>
      <c r="N37" s="7">
        <v>186.91777999999999</v>
      </c>
      <c r="P37" s="22">
        <v>1572.36</v>
      </c>
      <c r="Q37" s="22">
        <v>1664.96</v>
      </c>
      <c r="R37" s="22">
        <v>1642.51</v>
      </c>
    </row>
    <row r="38" spans="1:18" x14ac:dyDescent="0.25">
      <c r="A38" s="26" t="s">
        <v>36</v>
      </c>
      <c r="B38" s="26">
        <v>46</v>
      </c>
      <c r="C38" s="26">
        <v>2</v>
      </c>
      <c r="D38" s="26">
        <v>202</v>
      </c>
      <c r="E38" s="26">
        <f t="shared" si="0"/>
        <v>250</v>
      </c>
      <c r="G38" s="7">
        <v>141.77000000000001</v>
      </c>
      <c r="H38" s="7">
        <v>0</v>
      </c>
      <c r="I38" s="7">
        <v>123.79</v>
      </c>
      <c r="J38" s="7">
        <v>127.37</v>
      </c>
      <c r="L38" s="7">
        <v>142.77832000000001</v>
      </c>
      <c r="M38" s="7">
        <v>97.017499999999998</v>
      </c>
      <c r="N38" s="7">
        <v>106.66436999999999</v>
      </c>
      <c r="P38" s="22">
        <v>1014.56</v>
      </c>
      <c r="Q38" s="22">
        <v>842.47</v>
      </c>
      <c r="R38" s="22">
        <v>878.75</v>
      </c>
    </row>
    <row r="39" spans="1:18" x14ac:dyDescent="0.25">
      <c r="A39" s="26" t="s">
        <v>37</v>
      </c>
      <c r="B39" s="19">
        <v>2</v>
      </c>
      <c r="C39" s="19">
        <v>0</v>
      </c>
      <c r="D39" s="19">
        <v>82</v>
      </c>
      <c r="E39" s="19">
        <f t="shared" si="0"/>
        <v>84</v>
      </c>
      <c r="F39" s="8"/>
      <c r="G39" s="34">
        <v>189.5</v>
      </c>
      <c r="H39" s="34">
        <v>0</v>
      </c>
      <c r="I39" s="34">
        <v>149.18</v>
      </c>
      <c r="J39" s="34">
        <v>150.35</v>
      </c>
      <c r="K39" s="8"/>
      <c r="L39" s="34">
        <v>0</v>
      </c>
      <c r="M39" s="34">
        <v>113.32197000000001</v>
      </c>
      <c r="N39" s="34">
        <v>113.22426</v>
      </c>
      <c r="O39" s="8"/>
      <c r="P39" s="35">
        <v>0</v>
      </c>
      <c r="Q39" s="35">
        <v>947.9</v>
      </c>
      <c r="R39" s="35">
        <v>938.1</v>
      </c>
    </row>
    <row r="40" spans="1:18" x14ac:dyDescent="0.25">
      <c r="A40" s="26" t="s">
        <v>38</v>
      </c>
      <c r="B40" s="26">
        <v>44</v>
      </c>
      <c r="C40" s="26">
        <v>3</v>
      </c>
      <c r="D40" s="26">
        <v>175</v>
      </c>
      <c r="E40" s="26">
        <f t="shared" si="0"/>
        <v>222</v>
      </c>
      <c r="G40" s="7">
        <v>101.12</v>
      </c>
      <c r="H40" s="7">
        <v>59.5</v>
      </c>
      <c r="I40" s="7">
        <v>105.63</v>
      </c>
      <c r="J40" s="7">
        <v>104.1</v>
      </c>
      <c r="L40" s="7">
        <v>64.611350000000002</v>
      </c>
      <c r="M40" s="7">
        <v>77.67528999999999</v>
      </c>
      <c r="N40" s="7">
        <v>74.638809999999992</v>
      </c>
      <c r="P40" s="22">
        <v>626.11</v>
      </c>
      <c r="Q40" s="22">
        <v>789.38</v>
      </c>
      <c r="R40" s="22">
        <v>751.43</v>
      </c>
    </row>
    <row r="41" spans="1:18" x14ac:dyDescent="0.25">
      <c r="A41" s="26" t="s">
        <v>39</v>
      </c>
      <c r="B41" s="26">
        <v>94</v>
      </c>
      <c r="C41" s="26">
        <v>0</v>
      </c>
      <c r="D41" s="26">
        <v>302</v>
      </c>
      <c r="E41" s="26">
        <f t="shared" si="0"/>
        <v>396</v>
      </c>
      <c r="G41" s="7">
        <v>123.35</v>
      </c>
      <c r="H41" s="7">
        <v>0</v>
      </c>
      <c r="I41" s="7">
        <v>96.58</v>
      </c>
      <c r="J41" s="7">
        <v>102.06</v>
      </c>
      <c r="L41" s="7">
        <v>153.78910999999999</v>
      </c>
      <c r="M41" s="7">
        <v>137.89627999999999</v>
      </c>
      <c r="N41" s="7">
        <v>141.18276</v>
      </c>
      <c r="P41" s="22">
        <v>1472.58</v>
      </c>
      <c r="Q41" s="22">
        <v>1584.66</v>
      </c>
      <c r="R41" s="22">
        <v>1561.48</v>
      </c>
    </row>
    <row r="42" spans="1:18" x14ac:dyDescent="0.25">
      <c r="A42" s="26" t="s">
        <v>40</v>
      </c>
      <c r="B42" s="26">
        <v>51</v>
      </c>
      <c r="C42" s="26">
        <v>4</v>
      </c>
      <c r="D42" s="26">
        <v>135</v>
      </c>
      <c r="E42" s="26">
        <f t="shared" si="0"/>
        <v>190</v>
      </c>
      <c r="G42" s="7">
        <v>137.08000000000001</v>
      </c>
      <c r="H42" s="7">
        <v>68.67</v>
      </c>
      <c r="I42" s="7">
        <v>112.82</v>
      </c>
      <c r="J42" s="7">
        <v>118.55</v>
      </c>
      <c r="L42" s="7">
        <v>144.62210000000002</v>
      </c>
      <c r="M42" s="7">
        <v>91.590609999999998</v>
      </c>
      <c r="N42" s="7">
        <v>107.58422999999999</v>
      </c>
      <c r="P42" s="22">
        <v>1092.08</v>
      </c>
      <c r="Q42" s="22">
        <v>883.65</v>
      </c>
      <c r="R42" s="22">
        <v>946.51</v>
      </c>
    </row>
    <row r="43" spans="1:18" x14ac:dyDescent="0.25">
      <c r="A43" s="26" t="s">
        <v>41</v>
      </c>
      <c r="B43" s="26">
        <v>774</v>
      </c>
      <c r="C43" s="26">
        <v>86</v>
      </c>
      <c r="D43" s="26">
        <v>1635</v>
      </c>
      <c r="E43" s="26">
        <f t="shared" si="0"/>
        <v>2495</v>
      </c>
      <c r="G43" s="7">
        <v>104.51</v>
      </c>
      <c r="H43" s="7">
        <v>89.31</v>
      </c>
      <c r="I43" s="7">
        <v>101.17</v>
      </c>
      <c r="J43" s="7">
        <v>101.87</v>
      </c>
      <c r="L43" s="7">
        <v>142.52651</v>
      </c>
      <c r="M43" s="7">
        <v>105.50731</v>
      </c>
      <c r="N43" s="7">
        <v>118.31026</v>
      </c>
      <c r="P43" s="22">
        <v>1346.31</v>
      </c>
      <c r="Q43" s="22">
        <v>1082.72</v>
      </c>
      <c r="R43" s="22">
        <v>1173.8800000000001</v>
      </c>
    </row>
    <row r="44" spans="1:18" x14ac:dyDescent="0.25">
      <c r="A44" s="26" t="s">
        <v>42</v>
      </c>
      <c r="B44" s="26">
        <v>348</v>
      </c>
      <c r="C44" s="26">
        <v>4</v>
      </c>
      <c r="D44" s="26">
        <v>2289</v>
      </c>
      <c r="E44" s="26">
        <f t="shared" si="0"/>
        <v>2641</v>
      </c>
      <c r="G44" s="7">
        <v>122.16</v>
      </c>
      <c r="H44" s="7">
        <v>82.75</v>
      </c>
      <c r="I44" s="7">
        <v>100.77</v>
      </c>
      <c r="J44" s="7">
        <v>103.41</v>
      </c>
      <c r="L44" s="7">
        <v>203.70885999999999</v>
      </c>
      <c r="M44" s="7">
        <v>175.67707999999999</v>
      </c>
      <c r="N44" s="7">
        <v>179.20607999999999</v>
      </c>
      <c r="P44" s="22">
        <v>1821.35</v>
      </c>
      <c r="Q44" s="22">
        <v>1926.12</v>
      </c>
      <c r="R44" s="22">
        <v>1912.93</v>
      </c>
    </row>
    <row r="45" spans="1:18" x14ac:dyDescent="0.25">
      <c r="A45" s="26" t="s">
        <v>43</v>
      </c>
      <c r="B45" s="26">
        <v>6</v>
      </c>
      <c r="C45" s="26">
        <v>0</v>
      </c>
      <c r="D45" s="26">
        <v>103</v>
      </c>
      <c r="E45" s="26">
        <f t="shared" si="0"/>
        <v>109</v>
      </c>
      <c r="G45" s="7">
        <v>90.5</v>
      </c>
      <c r="H45" s="7">
        <v>0</v>
      </c>
      <c r="I45" s="7">
        <v>113.75</v>
      </c>
      <c r="J45" s="7">
        <v>112.71</v>
      </c>
      <c r="L45" s="7">
        <v>51.475000000000001</v>
      </c>
      <c r="M45" s="7">
        <v>123.05330000000001</v>
      </c>
      <c r="N45" s="7">
        <v>119.47439</v>
      </c>
      <c r="P45" s="22">
        <v>565.36</v>
      </c>
      <c r="Q45" s="22">
        <v>1219.56</v>
      </c>
      <c r="R45" s="22">
        <v>1186.8499999999999</v>
      </c>
    </row>
    <row r="46" spans="1:18" x14ac:dyDescent="0.25">
      <c r="A46" s="26" t="s">
        <v>44</v>
      </c>
      <c r="B46" s="26">
        <v>790</v>
      </c>
      <c r="C46" s="26">
        <v>24</v>
      </c>
      <c r="D46" s="26">
        <v>4297</v>
      </c>
      <c r="E46" s="26">
        <f t="shared" si="0"/>
        <v>5111</v>
      </c>
      <c r="G46" s="7">
        <v>97.02</v>
      </c>
      <c r="H46" s="7">
        <v>66.790000000000006</v>
      </c>
      <c r="I46" s="7">
        <v>83.28</v>
      </c>
      <c r="J46" s="7">
        <v>85.19</v>
      </c>
      <c r="L46" s="7">
        <v>182.55430999999999</v>
      </c>
      <c r="M46" s="7">
        <v>142.04329000000001</v>
      </c>
      <c r="N46" s="7">
        <v>148.08862999999999</v>
      </c>
      <c r="P46" s="22">
        <v>2041.19</v>
      </c>
      <c r="Q46" s="22">
        <v>1848.57</v>
      </c>
      <c r="R46" s="22">
        <v>1877.32</v>
      </c>
    </row>
    <row r="47" spans="1:18" x14ac:dyDescent="0.25">
      <c r="A47" s="26" t="s">
        <v>45</v>
      </c>
      <c r="B47" s="26">
        <v>11</v>
      </c>
      <c r="C47" s="26">
        <v>0</v>
      </c>
      <c r="D47" s="26">
        <v>40</v>
      </c>
      <c r="E47" s="26">
        <f t="shared" si="0"/>
        <v>51</v>
      </c>
      <c r="G47" s="7">
        <v>114.2</v>
      </c>
      <c r="H47" s="7">
        <v>0</v>
      </c>
      <c r="I47" s="7">
        <v>105.53</v>
      </c>
      <c r="J47" s="7">
        <v>107.59</v>
      </c>
      <c r="L47" s="7">
        <v>88.85</v>
      </c>
      <c r="M47" s="7">
        <v>100.6875</v>
      </c>
      <c r="N47" s="7">
        <v>97.869050000000001</v>
      </c>
      <c r="P47" s="22">
        <v>968.44</v>
      </c>
      <c r="Q47" s="22">
        <v>1208.82</v>
      </c>
      <c r="R47" s="22">
        <v>1151.5899999999999</v>
      </c>
    </row>
    <row r="48" spans="1:18" x14ac:dyDescent="0.25">
      <c r="A48" s="26" t="s">
        <v>46</v>
      </c>
      <c r="B48" s="26">
        <v>163</v>
      </c>
      <c r="C48" s="26">
        <v>3</v>
      </c>
      <c r="D48" s="26">
        <v>321</v>
      </c>
      <c r="E48" s="26">
        <f t="shared" si="0"/>
        <v>487</v>
      </c>
      <c r="G48" s="7">
        <v>89.35</v>
      </c>
      <c r="H48" s="7">
        <v>85.5</v>
      </c>
      <c r="I48" s="7">
        <v>103.21</v>
      </c>
      <c r="J48" s="7">
        <v>97.88</v>
      </c>
      <c r="L48" s="7">
        <v>77.978149999999999</v>
      </c>
      <c r="M48" s="7">
        <v>79.501070000000013</v>
      </c>
      <c r="N48" s="7">
        <v>78.903940000000006</v>
      </c>
      <c r="P48" s="22">
        <v>924.44</v>
      </c>
      <c r="Q48" s="22">
        <v>861.5</v>
      </c>
      <c r="R48" s="22">
        <v>886.18</v>
      </c>
    </row>
    <row r="49" spans="1:18" x14ac:dyDescent="0.25">
      <c r="A49" s="26" t="s">
        <v>47</v>
      </c>
      <c r="B49" s="26">
        <v>68</v>
      </c>
      <c r="C49" s="26">
        <v>0</v>
      </c>
      <c r="D49" s="26">
        <v>382</v>
      </c>
      <c r="E49" s="26">
        <f t="shared" si="0"/>
        <v>450</v>
      </c>
      <c r="G49" s="7">
        <v>155.63999999999999</v>
      </c>
      <c r="H49" s="7">
        <v>0</v>
      </c>
      <c r="I49" s="7">
        <v>100.54</v>
      </c>
      <c r="J49" s="7">
        <v>108.92</v>
      </c>
      <c r="L49" s="7">
        <v>794.92531999999994</v>
      </c>
      <c r="M49" s="7">
        <v>306.70499999999998</v>
      </c>
      <c r="N49" s="7">
        <v>381.20183000000003</v>
      </c>
      <c r="P49" s="22">
        <v>3845.69</v>
      </c>
      <c r="Q49" s="22">
        <v>3147.18</v>
      </c>
      <c r="R49" s="22">
        <v>3253.77</v>
      </c>
    </row>
    <row r="50" spans="1:18" x14ac:dyDescent="0.25">
      <c r="A50" s="26" t="s">
        <v>48</v>
      </c>
      <c r="B50" s="26">
        <v>1817</v>
      </c>
      <c r="C50" s="26">
        <v>111</v>
      </c>
      <c r="D50" s="26">
        <v>8142</v>
      </c>
      <c r="E50" s="26">
        <f t="shared" si="0"/>
        <v>10070</v>
      </c>
      <c r="G50" s="7">
        <v>96.84</v>
      </c>
      <c r="H50" s="7">
        <v>69.78</v>
      </c>
      <c r="I50" s="7">
        <v>95.39</v>
      </c>
      <c r="J50" s="7">
        <v>95.38</v>
      </c>
      <c r="L50" s="7">
        <v>270.60098999999997</v>
      </c>
      <c r="M50" s="7">
        <v>218.00720000000001</v>
      </c>
      <c r="N50" s="7">
        <v>228.26598000000001</v>
      </c>
      <c r="P50" s="22">
        <v>2889.97</v>
      </c>
      <c r="Q50" s="22">
        <v>2342.25</v>
      </c>
      <c r="R50" s="22">
        <v>2449.09</v>
      </c>
    </row>
    <row r="51" spans="1:18" x14ac:dyDescent="0.25">
      <c r="A51" s="26" t="s">
        <v>49</v>
      </c>
      <c r="B51" s="26">
        <v>924</v>
      </c>
      <c r="C51" s="26">
        <v>28</v>
      </c>
      <c r="D51" s="26">
        <v>3447</v>
      </c>
      <c r="E51" s="26">
        <f t="shared" si="0"/>
        <v>4399</v>
      </c>
      <c r="G51" s="7">
        <v>116.33</v>
      </c>
      <c r="H51" s="7">
        <v>77.790000000000006</v>
      </c>
      <c r="I51" s="7">
        <v>116.17</v>
      </c>
      <c r="J51" s="7">
        <v>115.98</v>
      </c>
      <c r="L51" s="7">
        <v>237.05665999999999</v>
      </c>
      <c r="M51" s="7">
        <v>216.78873000000002</v>
      </c>
      <c r="N51" s="7">
        <v>221.24725000000001</v>
      </c>
      <c r="P51" s="22">
        <v>2225.5500000000002</v>
      </c>
      <c r="Q51" s="22">
        <v>2038.61</v>
      </c>
      <c r="R51" s="22">
        <v>2079.73</v>
      </c>
    </row>
    <row r="52" spans="1:18" x14ac:dyDescent="0.25">
      <c r="A52" s="26"/>
      <c r="B52" s="26"/>
      <c r="C52" s="26"/>
      <c r="D52" s="26"/>
      <c r="E52" s="26"/>
      <c r="G52" s="7"/>
      <c r="H52" s="7"/>
      <c r="I52" s="7"/>
      <c r="J52" s="7"/>
      <c r="L52" s="7"/>
      <c r="M52" s="7"/>
      <c r="N52" s="7"/>
      <c r="P52" s="22"/>
      <c r="Q52" s="22"/>
      <c r="R52" s="22"/>
    </row>
    <row r="53" spans="1:18" x14ac:dyDescent="0.25">
      <c r="A53" s="33" t="s">
        <v>50</v>
      </c>
      <c r="B53" s="26"/>
      <c r="C53" s="26"/>
      <c r="D53" s="26"/>
      <c r="E53" s="26"/>
      <c r="G53" s="7"/>
      <c r="H53" s="7"/>
      <c r="I53" s="7"/>
      <c r="J53" s="7"/>
      <c r="L53" s="7"/>
      <c r="M53" s="7"/>
      <c r="N53" s="7"/>
      <c r="P53" s="22"/>
      <c r="Q53" s="22"/>
      <c r="R53" s="22"/>
    </row>
    <row r="54" spans="1:18" x14ac:dyDescent="0.25">
      <c r="A54" s="26" t="s">
        <v>51</v>
      </c>
      <c r="B54" s="26">
        <v>281</v>
      </c>
      <c r="C54" s="26">
        <v>4</v>
      </c>
      <c r="D54" s="26">
        <v>1339</v>
      </c>
      <c r="E54" s="26">
        <f t="shared" si="0"/>
        <v>1624</v>
      </c>
      <c r="G54" s="7">
        <v>139.91999999999999</v>
      </c>
      <c r="H54" s="7">
        <v>87</v>
      </c>
      <c r="I54" s="7">
        <v>101.01</v>
      </c>
      <c r="J54" s="7">
        <v>107.24</v>
      </c>
      <c r="L54" s="7">
        <v>467.68761999999998</v>
      </c>
      <c r="M54" s="7">
        <v>232.03630999999999</v>
      </c>
      <c r="N54" s="7">
        <v>270.27875</v>
      </c>
      <c r="P54" s="22">
        <v>2908.57</v>
      </c>
      <c r="Q54" s="22">
        <v>2376.13</v>
      </c>
      <c r="R54" s="22">
        <v>2462.54</v>
      </c>
    </row>
    <row r="55" spans="1:18" x14ac:dyDescent="0.25">
      <c r="A55" s="26" t="s">
        <v>52</v>
      </c>
      <c r="B55" s="26">
        <v>1021</v>
      </c>
      <c r="C55" s="26">
        <v>73</v>
      </c>
      <c r="D55" s="26">
        <v>7776</v>
      </c>
      <c r="E55" s="26">
        <f t="shared" si="0"/>
        <v>8870</v>
      </c>
      <c r="G55" s="7">
        <v>99.62</v>
      </c>
      <c r="H55" s="7">
        <v>65.03</v>
      </c>
      <c r="I55" s="7">
        <v>88.5</v>
      </c>
      <c r="J55" s="7">
        <v>89.53</v>
      </c>
      <c r="L55" s="7">
        <v>190.17232000000001</v>
      </c>
      <c r="M55" s="7">
        <v>142.09779</v>
      </c>
      <c r="N55" s="7">
        <v>147.62089</v>
      </c>
      <c r="P55" s="22">
        <v>2046.57</v>
      </c>
      <c r="Q55" s="22">
        <v>1752.84</v>
      </c>
      <c r="R55" s="22">
        <v>1786.59</v>
      </c>
    </row>
    <row r="56" spans="1:18" x14ac:dyDescent="0.25">
      <c r="A56" s="26" t="s">
        <v>53</v>
      </c>
      <c r="B56" s="26">
        <v>1090</v>
      </c>
      <c r="C56" s="26">
        <v>20</v>
      </c>
      <c r="D56" s="26">
        <v>3291</v>
      </c>
      <c r="E56" s="26">
        <f t="shared" si="0"/>
        <v>4401</v>
      </c>
      <c r="G56" s="7">
        <v>96.31</v>
      </c>
      <c r="H56" s="7">
        <v>79.39</v>
      </c>
      <c r="I56" s="7">
        <v>98.42</v>
      </c>
      <c r="J56" s="7">
        <v>97.81</v>
      </c>
      <c r="L56" s="7">
        <v>143.44970999999998</v>
      </c>
      <c r="M56" s="7">
        <v>125.21319</v>
      </c>
      <c r="N56" s="7">
        <v>129.87757999999999</v>
      </c>
      <c r="P56" s="22">
        <v>1555.59</v>
      </c>
      <c r="Q56" s="22">
        <v>1369.96</v>
      </c>
      <c r="R56" s="22">
        <v>1417.44</v>
      </c>
    </row>
    <row r="57" spans="1:18" x14ac:dyDescent="0.25">
      <c r="A57" s="26" t="s">
        <v>54</v>
      </c>
      <c r="B57" s="26">
        <v>2476</v>
      </c>
      <c r="C57" s="26">
        <v>107</v>
      </c>
      <c r="D57" s="26">
        <v>10049</v>
      </c>
      <c r="E57" s="26">
        <f t="shared" si="0"/>
        <v>12632</v>
      </c>
      <c r="G57" s="7">
        <v>108.3</v>
      </c>
      <c r="H57" s="7">
        <v>86.29</v>
      </c>
      <c r="I57" s="7">
        <v>100.88</v>
      </c>
      <c r="J57" s="7">
        <v>102.22</v>
      </c>
      <c r="L57" s="7">
        <v>219.78205</v>
      </c>
      <c r="M57" s="7">
        <v>210.11429000000001</v>
      </c>
      <c r="N57" s="7">
        <v>212.10162</v>
      </c>
      <c r="P57" s="22">
        <v>2145.37</v>
      </c>
      <c r="Q57" s="22">
        <v>2227.14</v>
      </c>
      <c r="R57" s="22">
        <v>2210.33</v>
      </c>
    </row>
    <row r="58" spans="1:18" x14ac:dyDescent="0.25">
      <c r="A58" s="26" t="s">
        <v>55</v>
      </c>
      <c r="B58" s="26">
        <v>8064</v>
      </c>
      <c r="C58" s="26">
        <v>539</v>
      </c>
      <c r="D58" s="26">
        <v>41232</v>
      </c>
      <c r="E58" s="26">
        <f t="shared" si="0"/>
        <v>49835</v>
      </c>
      <c r="G58" s="7">
        <v>95.23</v>
      </c>
      <c r="H58" s="7">
        <v>70.180000000000007</v>
      </c>
      <c r="I58" s="7">
        <v>88.06</v>
      </c>
      <c r="J58" s="7">
        <v>89</v>
      </c>
      <c r="L58" s="7">
        <v>307.6207</v>
      </c>
      <c r="M58" s="7">
        <v>261.74845999999997</v>
      </c>
      <c r="N58" s="7">
        <v>269.68371999999999</v>
      </c>
      <c r="P58" s="22">
        <v>3352.24</v>
      </c>
      <c r="Q58" s="22">
        <v>3023.1</v>
      </c>
      <c r="R58" s="22">
        <v>3080.04</v>
      </c>
    </row>
    <row r="59" spans="1:18" x14ac:dyDescent="0.25">
      <c r="A59" s="26" t="s">
        <v>56</v>
      </c>
      <c r="B59" s="26">
        <v>1638</v>
      </c>
      <c r="C59" s="26">
        <v>25</v>
      </c>
      <c r="D59" s="26">
        <v>5985</v>
      </c>
      <c r="E59" s="26">
        <f t="shared" si="0"/>
        <v>7648</v>
      </c>
      <c r="G59" s="7">
        <v>107.56</v>
      </c>
      <c r="H59" s="7">
        <v>69.7</v>
      </c>
      <c r="I59" s="7">
        <v>103.62</v>
      </c>
      <c r="J59" s="7">
        <v>104.35</v>
      </c>
      <c r="L59" s="7">
        <v>228.2756</v>
      </c>
      <c r="M59" s="7">
        <v>194.09542999999999</v>
      </c>
      <c r="N59" s="7">
        <v>201.61173000000002</v>
      </c>
      <c r="P59" s="22">
        <v>2361.92</v>
      </c>
      <c r="Q59" s="22">
        <v>2075.02</v>
      </c>
      <c r="R59" s="22">
        <v>2138.11</v>
      </c>
    </row>
    <row r="60" spans="1:18" x14ac:dyDescent="0.25">
      <c r="A60" s="26" t="s">
        <v>57</v>
      </c>
      <c r="B60" s="26">
        <v>1080</v>
      </c>
      <c r="C60" s="26">
        <v>95</v>
      </c>
      <c r="D60" s="26">
        <v>2797</v>
      </c>
      <c r="E60" s="26">
        <f t="shared" si="0"/>
        <v>3972</v>
      </c>
      <c r="G60" s="7">
        <v>106.71</v>
      </c>
      <c r="H60" s="7">
        <v>88.07</v>
      </c>
      <c r="I60" s="7">
        <v>104.92</v>
      </c>
      <c r="J60" s="7">
        <v>105.1</v>
      </c>
      <c r="L60" s="7">
        <v>130.59438</v>
      </c>
      <c r="M60" s="7">
        <v>95.302490000000006</v>
      </c>
      <c r="N60" s="7">
        <v>105.95317</v>
      </c>
      <c r="P60" s="22">
        <v>1229.9100000000001</v>
      </c>
      <c r="Q60" s="22">
        <v>962.82</v>
      </c>
      <c r="R60" s="22">
        <v>1043.43</v>
      </c>
    </row>
    <row r="61" spans="1:18" x14ac:dyDescent="0.25">
      <c r="A61" s="26" t="s">
        <v>58</v>
      </c>
      <c r="B61" s="26">
        <v>294</v>
      </c>
      <c r="C61" s="26">
        <v>4</v>
      </c>
      <c r="D61" s="26">
        <v>2670</v>
      </c>
      <c r="E61" s="26">
        <f t="shared" si="0"/>
        <v>2968</v>
      </c>
      <c r="G61" s="7">
        <v>91.76</v>
      </c>
      <c r="H61" s="7">
        <v>78.33</v>
      </c>
      <c r="I61" s="7">
        <v>92.1</v>
      </c>
      <c r="J61" s="7">
        <v>92.05</v>
      </c>
      <c r="L61" s="7">
        <v>72.075759999999988</v>
      </c>
      <c r="M61" s="7">
        <v>91.108980000000003</v>
      </c>
      <c r="N61" s="7">
        <v>89.20732000000001</v>
      </c>
      <c r="P61" s="22">
        <v>852.13</v>
      </c>
      <c r="Q61" s="22">
        <v>1040.98</v>
      </c>
      <c r="R61" s="22">
        <v>1022.11</v>
      </c>
    </row>
    <row r="62" spans="1:18" x14ac:dyDescent="0.25">
      <c r="A62" s="26"/>
      <c r="B62" s="26"/>
      <c r="C62" s="26"/>
      <c r="D62" s="26"/>
      <c r="E62" s="26"/>
      <c r="G62" s="7"/>
      <c r="H62" s="7"/>
      <c r="I62" s="7"/>
      <c r="J62" s="7"/>
      <c r="L62" s="7"/>
      <c r="M62" s="7"/>
      <c r="N62" s="7"/>
      <c r="P62" s="22"/>
      <c r="Q62" s="22"/>
      <c r="R62" s="22"/>
    </row>
    <row r="63" spans="1:18" x14ac:dyDescent="0.25">
      <c r="A63" s="33" t="s">
        <v>59</v>
      </c>
      <c r="B63" s="26"/>
      <c r="C63" s="26"/>
      <c r="D63" s="26"/>
      <c r="E63" s="26"/>
      <c r="G63" s="7"/>
      <c r="H63" s="7"/>
      <c r="I63" s="7"/>
      <c r="J63" s="7"/>
      <c r="L63" s="7"/>
      <c r="M63" s="7"/>
      <c r="N63" s="7"/>
      <c r="P63" s="22"/>
      <c r="Q63" s="22"/>
      <c r="R63" s="22"/>
    </row>
    <row r="64" spans="1:18" x14ac:dyDescent="0.25">
      <c r="A64" s="26" t="s">
        <v>60</v>
      </c>
      <c r="B64" s="26">
        <v>10302</v>
      </c>
      <c r="C64" s="26">
        <v>571</v>
      </c>
      <c r="D64" s="26">
        <v>48254</v>
      </c>
      <c r="E64" s="26">
        <f t="shared" si="0"/>
        <v>59127</v>
      </c>
      <c r="G64" s="7">
        <v>96.44</v>
      </c>
      <c r="H64" s="7">
        <v>70.83</v>
      </c>
      <c r="I64" s="7">
        <v>90.2</v>
      </c>
      <c r="J64" s="7">
        <v>91.08</v>
      </c>
      <c r="L64" s="7">
        <v>283.57578000000001</v>
      </c>
      <c r="M64" s="7">
        <v>248.50803999999999</v>
      </c>
      <c r="N64" s="7">
        <v>255.01614000000001</v>
      </c>
      <c r="P64" s="22">
        <v>3072.84</v>
      </c>
      <c r="Q64" s="22">
        <v>2843.14</v>
      </c>
      <c r="R64" s="22">
        <v>2885.77</v>
      </c>
    </row>
    <row r="65" spans="1:18" x14ac:dyDescent="0.25">
      <c r="A65" s="26" t="s">
        <v>61</v>
      </c>
      <c r="B65" s="26">
        <v>2558</v>
      </c>
      <c r="C65" s="26">
        <v>109</v>
      </c>
      <c r="D65" s="26">
        <v>10395</v>
      </c>
      <c r="E65" s="26">
        <f t="shared" si="0"/>
        <v>13062</v>
      </c>
      <c r="G65" s="7">
        <v>109.55</v>
      </c>
      <c r="H65" s="7">
        <v>86.34</v>
      </c>
      <c r="I65" s="7">
        <v>100.92</v>
      </c>
      <c r="J65" s="7">
        <v>102.5</v>
      </c>
      <c r="L65" s="7">
        <v>227.36842999999999</v>
      </c>
      <c r="M65" s="7">
        <v>213.85757999999998</v>
      </c>
      <c r="N65" s="7">
        <v>216.63215</v>
      </c>
      <c r="P65" s="22">
        <v>2177.6799999999998</v>
      </c>
      <c r="Q65" s="22">
        <v>2260.2800000000002</v>
      </c>
      <c r="R65" s="22">
        <v>2243.3200000000002</v>
      </c>
    </row>
    <row r="66" spans="1:18" x14ac:dyDescent="0.25">
      <c r="A66" s="26" t="s">
        <v>62</v>
      </c>
      <c r="B66" s="26">
        <v>1287</v>
      </c>
      <c r="C66" s="26">
        <v>97</v>
      </c>
      <c r="D66" s="26">
        <v>3909</v>
      </c>
      <c r="E66" s="26">
        <f t="shared" si="0"/>
        <v>5293</v>
      </c>
      <c r="G66" s="7">
        <v>111.02</v>
      </c>
      <c r="H66" s="7">
        <v>87.95</v>
      </c>
      <c r="I66" s="7">
        <v>103.92</v>
      </c>
      <c r="J66" s="7">
        <v>105.39</v>
      </c>
      <c r="L66" s="7">
        <v>181.27225000000001</v>
      </c>
      <c r="M66" s="7">
        <v>126.88885000000001</v>
      </c>
      <c r="N66" s="7">
        <v>140.81950000000001</v>
      </c>
      <c r="P66" s="22">
        <v>1457.48</v>
      </c>
      <c r="Q66" s="22">
        <v>1299.27</v>
      </c>
      <c r="R66" s="22">
        <v>1339.8</v>
      </c>
    </row>
    <row r="67" spans="1:18" x14ac:dyDescent="0.25">
      <c r="A67" s="26" t="s">
        <v>63</v>
      </c>
      <c r="B67" s="26">
        <v>1797</v>
      </c>
      <c r="C67" s="26">
        <v>90</v>
      </c>
      <c r="D67" s="26">
        <v>12581</v>
      </c>
      <c r="E67" s="26">
        <f t="shared" si="0"/>
        <v>14468</v>
      </c>
      <c r="G67" s="7">
        <v>102.55</v>
      </c>
      <c r="H67" s="7">
        <v>64.13</v>
      </c>
      <c r="I67" s="7">
        <v>90.91</v>
      </c>
      <c r="J67" s="7">
        <v>92.16</v>
      </c>
      <c r="L67" s="7">
        <v>167.7047</v>
      </c>
      <c r="M67" s="7">
        <v>134.72541000000001</v>
      </c>
      <c r="N67" s="7">
        <v>138.88108</v>
      </c>
      <c r="P67" s="22">
        <v>1800.23</v>
      </c>
      <c r="Q67" s="22">
        <v>1623.09</v>
      </c>
      <c r="R67" s="22">
        <v>1645.41</v>
      </c>
    </row>
    <row r="68" spans="1:18" x14ac:dyDescent="0.25">
      <c r="A68" s="26"/>
      <c r="B68" s="26"/>
      <c r="C68" s="26"/>
      <c r="D68" s="26"/>
      <c r="E68" s="26"/>
      <c r="G68" s="7"/>
      <c r="H68" s="7"/>
      <c r="I68" s="7"/>
      <c r="J68" s="7"/>
      <c r="L68" s="7"/>
      <c r="M68" s="7"/>
      <c r="N68" s="7"/>
      <c r="P68" s="22"/>
      <c r="Q68" s="22"/>
      <c r="R68" s="22"/>
    </row>
    <row r="69" spans="1:18" x14ac:dyDescent="0.25">
      <c r="A69" s="27" t="s">
        <v>64</v>
      </c>
      <c r="B69" s="27">
        <f>SUM(B64:B67)</f>
        <v>15944</v>
      </c>
      <c r="C69" s="27">
        <f>SUM(C64:C67)</f>
        <v>867</v>
      </c>
      <c r="D69" s="27">
        <f>SUM(D64:D67)</f>
        <v>75139</v>
      </c>
      <c r="E69" s="27">
        <f>SUM(E64:E67)</f>
        <v>91950</v>
      </c>
      <c r="F69" s="9"/>
      <c r="G69" s="10">
        <v>100.31</v>
      </c>
      <c r="H69" s="10">
        <v>73.400000000000006</v>
      </c>
      <c r="I69" s="10">
        <v>92.43</v>
      </c>
      <c r="J69" s="10">
        <v>93.6</v>
      </c>
      <c r="K69" s="9"/>
      <c r="L69" s="10">
        <v>254.28435000000002</v>
      </c>
      <c r="M69" s="10">
        <v>218.51115999999999</v>
      </c>
      <c r="N69" s="10">
        <v>225.03498999999999</v>
      </c>
      <c r="O69" s="9"/>
      <c r="P69" s="28">
        <v>2671.08</v>
      </c>
      <c r="Q69" s="28">
        <v>2480.4899999999998</v>
      </c>
      <c r="R69" s="28">
        <v>2515.25</v>
      </c>
    </row>
    <row r="71" spans="1:18" x14ac:dyDescent="0.25">
      <c r="A71" s="11" t="s">
        <v>71</v>
      </c>
    </row>
    <row r="72" spans="1:18" x14ac:dyDescent="0.25">
      <c r="A72" s="12" t="s">
        <v>70</v>
      </c>
    </row>
    <row r="73" spans="1:18" x14ac:dyDescent="0.25">
      <c r="A73" s="12" t="s">
        <v>69</v>
      </c>
    </row>
  </sheetData>
  <pageMargins left="0.74803149606299213" right="0.74803149606299213" top="0.39370078740157483" bottom="0" header="0" footer="0"/>
  <pageSetup paperSize="9" scale="4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C8F2-E844-42BD-9D6E-CC36CCAF34E8}">
  <sheetPr>
    <pageSetUpPr fitToPage="1"/>
  </sheetPr>
  <dimension ref="A1:R73"/>
  <sheetViews>
    <sheetView workbookViewId="0"/>
  </sheetViews>
  <sheetFormatPr defaultColWidth="11.453125" defaultRowHeight="11.5" x14ac:dyDescent="0.25"/>
  <cols>
    <col min="1" max="1" width="35.7265625" style="1" customWidth="1"/>
    <col min="2" max="5" width="10.7265625" style="1" customWidth="1"/>
    <col min="6" max="6" width="2.7265625" style="1" customWidth="1"/>
    <col min="7" max="10" width="10.7265625" style="1" customWidth="1"/>
    <col min="11" max="11" width="2.7265625" style="1" customWidth="1"/>
    <col min="12" max="14" width="10.7265625" style="1" customWidth="1"/>
    <col min="15" max="15" width="2.7265625" style="1" customWidth="1"/>
    <col min="16" max="18" width="10.7265625" style="1" customWidth="1"/>
    <col min="19" max="16384" width="11.453125" style="1"/>
  </cols>
  <sheetData>
    <row r="1" spans="1:18" ht="14" x14ac:dyDescent="0.3">
      <c r="A1" s="29" t="s">
        <v>0</v>
      </c>
    </row>
    <row r="2" spans="1:18" ht="13" x14ac:dyDescent="0.3">
      <c r="A2" s="30" t="s">
        <v>75</v>
      </c>
    </row>
    <row r="3" spans="1:18" x14ac:dyDescent="0.25">
      <c r="A3" s="25" t="s">
        <v>73</v>
      </c>
    </row>
    <row r="4" spans="1:18" ht="13.5" x14ac:dyDescent="0.25">
      <c r="B4" s="2" t="s">
        <v>1</v>
      </c>
      <c r="C4" s="3"/>
      <c r="D4" s="3"/>
      <c r="E4" s="3"/>
      <c r="G4" s="13" t="s">
        <v>67</v>
      </c>
      <c r="H4" s="3"/>
      <c r="I4" s="3"/>
      <c r="J4" s="3"/>
      <c r="L4" s="2" t="s">
        <v>65</v>
      </c>
      <c r="M4" s="2"/>
      <c r="N4" s="2"/>
      <c r="P4" s="2" t="s">
        <v>66</v>
      </c>
      <c r="Q4" s="2"/>
      <c r="R4" s="2"/>
    </row>
    <row r="5" spans="1:18" s="6" customFormat="1" ht="23" x14ac:dyDescent="0.25">
      <c r="A5" s="31"/>
      <c r="B5" s="4" t="s">
        <v>2</v>
      </c>
      <c r="C5" s="4" t="s">
        <v>3</v>
      </c>
      <c r="D5" s="4" t="s">
        <v>4</v>
      </c>
      <c r="E5" s="4" t="s">
        <v>5</v>
      </c>
      <c r="F5" s="5"/>
      <c r="G5" s="4" t="s">
        <v>2</v>
      </c>
      <c r="H5" s="4" t="s">
        <v>3</v>
      </c>
      <c r="I5" s="4" t="s">
        <v>4</v>
      </c>
      <c r="J5" s="4" t="s">
        <v>5</v>
      </c>
      <c r="K5" s="5"/>
      <c r="L5" s="4" t="s">
        <v>6</v>
      </c>
      <c r="M5" s="4" t="s">
        <v>4</v>
      </c>
      <c r="N5" s="4" t="s">
        <v>5</v>
      </c>
      <c r="O5" s="5"/>
      <c r="P5" s="4" t="s">
        <v>6</v>
      </c>
      <c r="Q5" s="4" t="s">
        <v>4</v>
      </c>
      <c r="R5" s="4" t="s">
        <v>5</v>
      </c>
    </row>
    <row r="6" spans="1:18" x14ac:dyDescent="0.25">
      <c r="A6" s="32" t="s">
        <v>7</v>
      </c>
      <c r="B6" s="26">
        <v>2759</v>
      </c>
      <c r="C6" s="26">
        <v>200</v>
      </c>
      <c r="D6" s="26">
        <v>12660</v>
      </c>
      <c r="E6" s="26">
        <f>SUM(B6:D6)</f>
        <v>15619</v>
      </c>
      <c r="G6" s="7">
        <v>91.17</v>
      </c>
      <c r="H6" s="7">
        <v>69.48</v>
      </c>
      <c r="I6" s="7">
        <v>78.75</v>
      </c>
      <c r="J6" s="7">
        <v>80.650000000000006</v>
      </c>
      <c r="L6" s="7">
        <v>308.08197999999999</v>
      </c>
      <c r="M6" s="7">
        <v>215.94212999999999</v>
      </c>
      <c r="N6" s="7">
        <v>232.33668</v>
      </c>
      <c r="P6" s="22">
        <v>3439.28</v>
      </c>
      <c r="Q6" s="22">
        <v>2740.69</v>
      </c>
      <c r="R6" s="22">
        <v>2864.99</v>
      </c>
    </row>
    <row r="7" spans="1:18" x14ac:dyDescent="0.25">
      <c r="A7" s="26"/>
      <c r="B7" s="26"/>
      <c r="C7" s="26"/>
      <c r="D7" s="26"/>
      <c r="E7" s="26"/>
      <c r="G7" s="7"/>
      <c r="H7" s="7"/>
      <c r="I7" s="7"/>
      <c r="J7" s="7"/>
      <c r="L7" s="7"/>
      <c r="M7" s="7"/>
      <c r="N7" s="7"/>
      <c r="P7" s="22"/>
      <c r="Q7" s="22"/>
      <c r="R7" s="22"/>
    </row>
    <row r="8" spans="1:18" x14ac:dyDescent="0.25">
      <c r="A8" s="33" t="s">
        <v>8</v>
      </c>
      <c r="B8" s="26"/>
      <c r="C8" s="26"/>
      <c r="D8" s="26"/>
      <c r="E8" s="26"/>
      <c r="G8" s="7"/>
      <c r="H8" s="7"/>
      <c r="I8" s="7"/>
      <c r="J8" s="7"/>
      <c r="L8" s="7"/>
      <c r="M8" s="7"/>
      <c r="N8" s="7"/>
      <c r="P8" s="22"/>
      <c r="Q8" s="22"/>
      <c r="R8" s="22"/>
    </row>
    <row r="9" spans="1:18" x14ac:dyDescent="0.25">
      <c r="A9" s="26" t="s">
        <v>9</v>
      </c>
      <c r="B9" s="26">
        <v>9</v>
      </c>
      <c r="C9" s="26">
        <v>0</v>
      </c>
      <c r="D9" s="26">
        <v>372</v>
      </c>
      <c r="E9" s="26">
        <f t="shared" ref="E9:E67" si="0">SUM(B9:D9)</f>
        <v>381</v>
      </c>
      <c r="G9" s="7">
        <v>105.86</v>
      </c>
      <c r="H9" s="7">
        <v>0</v>
      </c>
      <c r="I9" s="7">
        <v>99.71</v>
      </c>
      <c r="J9" s="7">
        <v>99.84</v>
      </c>
      <c r="L9" s="7">
        <v>124.81429</v>
      </c>
      <c r="M9" s="7">
        <v>104.88527999999999</v>
      </c>
      <c r="N9" s="7">
        <v>105.31717999999999</v>
      </c>
      <c r="P9" s="22">
        <v>1228.58</v>
      </c>
      <c r="Q9" s="22">
        <v>1134.56</v>
      </c>
      <c r="R9" s="22">
        <v>1136.5999999999999</v>
      </c>
    </row>
    <row r="10" spans="1:18" x14ac:dyDescent="0.25">
      <c r="A10" s="26" t="s">
        <v>10</v>
      </c>
      <c r="B10" s="26">
        <v>255</v>
      </c>
      <c r="C10" s="26">
        <v>12</v>
      </c>
      <c r="D10" s="26">
        <v>3052</v>
      </c>
      <c r="E10" s="26">
        <f t="shared" si="0"/>
        <v>3319</v>
      </c>
      <c r="G10" s="7">
        <v>120.95</v>
      </c>
      <c r="H10" s="7">
        <v>119</v>
      </c>
      <c r="I10" s="7">
        <v>91.25</v>
      </c>
      <c r="J10" s="7">
        <v>93.72</v>
      </c>
      <c r="L10" s="7">
        <v>255.69342</v>
      </c>
      <c r="M10" s="7">
        <v>200.97422</v>
      </c>
      <c r="N10" s="7">
        <v>205.38038</v>
      </c>
      <c r="P10" s="22">
        <v>2120.19</v>
      </c>
      <c r="Q10" s="22">
        <v>2430.91</v>
      </c>
      <c r="R10" s="22">
        <v>2405.89</v>
      </c>
    </row>
    <row r="11" spans="1:18" x14ac:dyDescent="0.25">
      <c r="A11" s="26" t="s">
        <v>11</v>
      </c>
      <c r="B11" s="26">
        <v>288</v>
      </c>
      <c r="C11" s="26">
        <v>4</v>
      </c>
      <c r="D11" s="26">
        <v>904</v>
      </c>
      <c r="E11" s="26">
        <f t="shared" si="0"/>
        <v>1196</v>
      </c>
      <c r="G11" s="7">
        <v>111.29</v>
      </c>
      <c r="H11" s="7">
        <v>84.5</v>
      </c>
      <c r="I11" s="7">
        <v>108.89</v>
      </c>
      <c r="J11" s="7">
        <v>109.37</v>
      </c>
      <c r="L11" s="7">
        <v>169.79881</v>
      </c>
      <c r="M11" s="7">
        <v>152.58373</v>
      </c>
      <c r="N11" s="7">
        <v>156.89576</v>
      </c>
      <c r="P11" s="22">
        <v>1793.73</v>
      </c>
      <c r="Q11" s="22">
        <v>1511.65</v>
      </c>
      <c r="R11" s="22">
        <v>1582.31</v>
      </c>
    </row>
    <row r="12" spans="1:18" x14ac:dyDescent="0.25">
      <c r="A12" s="26" t="s">
        <v>12</v>
      </c>
      <c r="B12" s="26">
        <v>69</v>
      </c>
      <c r="C12" s="26">
        <v>2</v>
      </c>
      <c r="D12" s="26">
        <v>127</v>
      </c>
      <c r="E12" s="26">
        <f t="shared" si="0"/>
        <v>198</v>
      </c>
      <c r="G12" s="7">
        <v>117.81</v>
      </c>
      <c r="H12" s="7">
        <v>92</v>
      </c>
      <c r="I12" s="7">
        <v>115.77</v>
      </c>
      <c r="J12" s="7">
        <v>116.24</v>
      </c>
      <c r="L12" s="7">
        <v>184.73256000000001</v>
      </c>
      <c r="M12" s="7">
        <v>141.71982</v>
      </c>
      <c r="N12" s="7">
        <v>155.05922000000001</v>
      </c>
      <c r="P12" s="22">
        <v>1521.97</v>
      </c>
      <c r="Q12" s="22">
        <v>1354.17</v>
      </c>
      <c r="R12" s="22">
        <v>1406.21</v>
      </c>
    </row>
    <row r="13" spans="1:18" x14ac:dyDescent="0.25">
      <c r="A13" s="26" t="s">
        <v>13</v>
      </c>
      <c r="B13" s="26">
        <v>1</v>
      </c>
      <c r="C13" s="26">
        <v>0</v>
      </c>
      <c r="D13" s="26">
        <v>79</v>
      </c>
      <c r="E13" s="26">
        <f t="shared" si="0"/>
        <v>80</v>
      </c>
      <c r="G13" s="7">
        <v>0</v>
      </c>
      <c r="H13" s="7">
        <v>0</v>
      </c>
      <c r="I13" s="7">
        <v>77.349999999999994</v>
      </c>
      <c r="J13" s="7">
        <v>77.349999999999994</v>
      </c>
      <c r="L13" s="7">
        <v>0</v>
      </c>
      <c r="M13" s="7">
        <v>97.92228999999999</v>
      </c>
      <c r="N13" s="7">
        <v>97.92228999999999</v>
      </c>
      <c r="P13" s="22">
        <v>0</v>
      </c>
      <c r="Q13" s="22">
        <v>1407.91</v>
      </c>
      <c r="R13" s="22">
        <v>1407.91</v>
      </c>
    </row>
    <row r="14" spans="1:18" x14ac:dyDescent="0.25">
      <c r="A14" s="26" t="s">
        <v>14</v>
      </c>
      <c r="B14" s="26">
        <v>197</v>
      </c>
      <c r="C14" s="26">
        <v>5</v>
      </c>
      <c r="D14" s="26">
        <v>1111</v>
      </c>
      <c r="E14" s="26">
        <f t="shared" si="0"/>
        <v>1313</v>
      </c>
      <c r="G14" s="7">
        <v>95.3</v>
      </c>
      <c r="H14" s="7">
        <v>70.67</v>
      </c>
      <c r="I14" s="7">
        <v>110.94</v>
      </c>
      <c r="J14" s="7">
        <v>108.69</v>
      </c>
      <c r="L14" s="7">
        <v>114.42612</v>
      </c>
      <c r="M14" s="7">
        <v>141.03417999999999</v>
      </c>
      <c r="N14" s="7">
        <v>137.24338</v>
      </c>
      <c r="P14" s="22">
        <v>1320.26</v>
      </c>
      <c r="Q14" s="22">
        <v>1393.67</v>
      </c>
      <c r="R14" s="22">
        <v>1383.21</v>
      </c>
    </row>
    <row r="15" spans="1:18" x14ac:dyDescent="0.25">
      <c r="A15" s="26" t="s">
        <v>15</v>
      </c>
      <c r="B15" s="26">
        <v>598</v>
      </c>
      <c r="C15" s="26">
        <v>18</v>
      </c>
      <c r="D15" s="26">
        <v>1392</v>
      </c>
      <c r="E15" s="26">
        <f t="shared" si="0"/>
        <v>2008</v>
      </c>
      <c r="G15" s="7">
        <v>96.41</v>
      </c>
      <c r="H15" s="7">
        <v>81.69</v>
      </c>
      <c r="I15" s="7">
        <v>96.76</v>
      </c>
      <c r="J15" s="7">
        <v>96.52</v>
      </c>
      <c r="L15" s="7">
        <v>105.19105999999999</v>
      </c>
      <c r="M15" s="7">
        <v>116.53319999999999</v>
      </c>
      <c r="N15" s="7">
        <v>113.11151</v>
      </c>
      <c r="P15" s="22">
        <v>1175.5999999999999</v>
      </c>
      <c r="Q15" s="22">
        <v>1279.1099999999999</v>
      </c>
      <c r="R15" s="22">
        <v>1247.8800000000001</v>
      </c>
    </row>
    <row r="16" spans="1:18" x14ac:dyDescent="0.25">
      <c r="A16" s="26" t="s">
        <v>16</v>
      </c>
      <c r="B16" s="26">
        <v>190</v>
      </c>
      <c r="C16" s="26">
        <v>57</v>
      </c>
      <c r="D16" s="26">
        <v>2828</v>
      </c>
      <c r="E16" s="26">
        <f t="shared" si="0"/>
        <v>3075</v>
      </c>
      <c r="G16" s="7">
        <v>110.4</v>
      </c>
      <c r="H16" s="7">
        <v>65.599999999999994</v>
      </c>
      <c r="I16" s="7">
        <v>90.99</v>
      </c>
      <c r="J16" s="7">
        <v>91.7</v>
      </c>
      <c r="L16" s="7">
        <v>178.90600000000001</v>
      </c>
      <c r="M16" s="7">
        <v>144.63508999999999</v>
      </c>
      <c r="N16" s="7">
        <v>146.91263000000001</v>
      </c>
      <c r="P16" s="22">
        <v>1615.56</v>
      </c>
      <c r="Q16" s="22">
        <v>1691.25</v>
      </c>
      <c r="R16" s="22">
        <v>1686.22</v>
      </c>
    </row>
    <row r="17" spans="1:18" x14ac:dyDescent="0.25">
      <c r="A17" s="26" t="s">
        <v>17</v>
      </c>
      <c r="B17" s="26">
        <v>206</v>
      </c>
      <c r="C17" s="26">
        <v>1</v>
      </c>
      <c r="D17" s="26">
        <v>1065</v>
      </c>
      <c r="E17" s="26">
        <f t="shared" si="0"/>
        <v>1272</v>
      </c>
      <c r="G17" s="7">
        <v>82.73</v>
      </c>
      <c r="H17" s="7">
        <v>116</v>
      </c>
      <c r="I17" s="7">
        <v>98.51</v>
      </c>
      <c r="J17" s="7">
        <v>96.19</v>
      </c>
      <c r="L17" s="7">
        <v>84.916029999999992</v>
      </c>
      <c r="M17" s="7">
        <v>117.34024000000001</v>
      </c>
      <c r="N17" s="7">
        <v>112.50561</v>
      </c>
      <c r="P17" s="22">
        <v>1133.32</v>
      </c>
      <c r="Q17" s="22">
        <v>1234.99</v>
      </c>
      <c r="R17" s="22">
        <v>1219.83</v>
      </c>
    </row>
    <row r="18" spans="1:18" x14ac:dyDescent="0.25">
      <c r="A18" s="26" t="s">
        <v>18</v>
      </c>
      <c r="B18" s="26">
        <v>620</v>
      </c>
      <c r="C18" s="26">
        <v>3</v>
      </c>
      <c r="D18" s="26">
        <v>2301</v>
      </c>
      <c r="E18" s="26">
        <f t="shared" si="0"/>
        <v>2924</v>
      </c>
      <c r="G18" s="7">
        <v>100.25</v>
      </c>
      <c r="H18" s="7">
        <v>88.5</v>
      </c>
      <c r="I18" s="7">
        <v>111.63</v>
      </c>
      <c r="J18" s="7">
        <v>109.17</v>
      </c>
      <c r="L18" s="7">
        <v>219.41249999999999</v>
      </c>
      <c r="M18" s="7">
        <v>281.38202000000001</v>
      </c>
      <c r="N18" s="7">
        <v>268.01465000000002</v>
      </c>
      <c r="P18" s="22">
        <v>2184.9699999999998</v>
      </c>
      <c r="Q18" s="22">
        <v>2658.49</v>
      </c>
      <c r="R18" s="22">
        <v>2556.35</v>
      </c>
    </row>
    <row r="19" spans="1:18" x14ac:dyDescent="0.25">
      <c r="A19" s="26" t="s">
        <v>19</v>
      </c>
      <c r="B19" s="26">
        <v>1359</v>
      </c>
      <c r="C19" s="26">
        <v>152</v>
      </c>
      <c r="D19" s="26">
        <v>6395</v>
      </c>
      <c r="E19" s="26">
        <f t="shared" si="0"/>
        <v>7906</v>
      </c>
      <c r="G19" s="7">
        <v>100.55</v>
      </c>
      <c r="H19" s="7">
        <v>77.790000000000006</v>
      </c>
      <c r="I19" s="7">
        <v>89.84</v>
      </c>
      <c r="J19" s="7">
        <v>91.14</v>
      </c>
      <c r="L19" s="7">
        <v>327.18666999999999</v>
      </c>
      <c r="M19" s="7">
        <v>236.36010000000002</v>
      </c>
      <c r="N19" s="7">
        <v>250.69512</v>
      </c>
      <c r="P19" s="22">
        <v>3475.34</v>
      </c>
      <c r="Q19" s="22">
        <v>2769.66</v>
      </c>
      <c r="R19" s="22">
        <v>2881.04</v>
      </c>
    </row>
    <row r="20" spans="1:18" x14ac:dyDescent="0.25">
      <c r="A20" s="26" t="s">
        <v>20</v>
      </c>
      <c r="B20" s="26">
        <v>426</v>
      </c>
      <c r="C20" s="26">
        <v>15</v>
      </c>
      <c r="D20" s="26">
        <v>2010</v>
      </c>
      <c r="E20" s="26">
        <f t="shared" si="0"/>
        <v>2451</v>
      </c>
      <c r="G20" s="7">
        <v>107.48</v>
      </c>
      <c r="H20" s="7">
        <v>62.13</v>
      </c>
      <c r="I20" s="7">
        <v>97.87</v>
      </c>
      <c r="J20" s="7">
        <v>99.3</v>
      </c>
      <c r="L20" s="7">
        <v>165.85017999999999</v>
      </c>
      <c r="M20" s="7">
        <v>154.46888000000001</v>
      </c>
      <c r="N20" s="7">
        <v>156.46338</v>
      </c>
      <c r="P20" s="22">
        <v>1797.13</v>
      </c>
      <c r="Q20" s="22">
        <v>1765.72</v>
      </c>
      <c r="R20" s="22">
        <v>1771.22</v>
      </c>
    </row>
    <row r="21" spans="1:18" x14ac:dyDescent="0.25">
      <c r="A21" s="26" t="s">
        <v>21</v>
      </c>
      <c r="B21" s="26">
        <v>2520</v>
      </c>
      <c r="C21" s="26">
        <v>214</v>
      </c>
      <c r="D21" s="26">
        <v>18293</v>
      </c>
      <c r="E21" s="26">
        <f t="shared" si="0"/>
        <v>21027</v>
      </c>
      <c r="G21" s="7">
        <v>82.75</v>
      </c>
      <c r="H21" s="7">
        <v>67.510000000000005</v>
      </c>
      <c r="I21" s="7">
        <v>75.02</v>
      </c>
      <c r="J21" s="7">
        <v>75.88</v>
      </c>
      <c r="L21" s="7">
        <v>371.39858000000004</v>
      </c>
      <c r="M21" s="7">
        <v>298.95218</v>
      </c>
      <c r="N21" s="7">
        <v>309.25332000000003</v>
      </c>
      <c r="P21" s="22">
        <v>4286.99</v>
      </c>
      <c r="Q21" s="22">
        <v>3711.41</v>
      </c>
      <c r="R21" s="22">
        <v>3793.25</v>
      </c>
    </row>
    <row r="22" spans="1:18" x14ac:dyDescent="0.25">
      <c r="A22" s="26" t="s">
        <v>22</v>
      </c>
      <c r="B22" s="26">
        <v>15</v>
      </c>
      <c r="C22" s="26">
        <v>0</v>
      </c>
      <c r="D22" s="26">
        <v>394</v>
      </c>
      <c r="E22" s="26">
        <f t="shared" si="0"/>
        <v>409</v>
      </c>
      <c r="G22" s="7">
        <v>88.86</v>
      </c>
      <c r="H22" s="7">
        <v>0</v>
      </c>
      <c r="I22" s="7">
        <v>88.15</v>
      </c>
      <c r="J22" s="7">
        <v>88.18</v>
      </c>
      <c r="L22" s="7">
        <v>108.42674000000001</v>
      </c>
      <c r="M22" s="7">
        <v>90.093929999999986</v>
      </c>
      <c r="N22" s="7">
        <v>90.810059999999993</v>
      </c>
      <c r="P22" s="22">
        <v>1288.82</v>
      </c>
      <c r="Q22" s="22">
        <v>1107.32</v>
      </c>
      <c r="R22" s="22">
        <v>1114.4100000000001</v>
      </c>
    </row>
    <row r="23" spans="1:18" x14ac:dyDescent="0.25">
      <c r="A23" s="26" t="s">
        <v>23</v>
      </c>
      <c r="B23" s="26">
        <v>123</v>
      </c>
      <c r="C23" s="26">
        <v>3</v>
      </c>
      <c r="D23" s="26">
        <v>391</v>
      </c>
      <c r="E23" s="26">
        <f t="shared" si="0"/>
        <v>517</v>
      </c>
      <c r="G23" s="7">
        <v>147.9</v>
      </c>
      <c r="H23" s="7">
        <v>84</v>
      </c>
      <c r="I23" s="7">
        <v>107.83</v>
      </c>
      <c r="J23" s="7">
        <v>117.07</v>
      </c>
      <c r="L23" s="7">
        <v>417.43853999999999</v>
      </c>
      <c r="M23" s="7">
        <v>325.56966999999997</v>
      </c>
      <c r="N23" s="7">
        <v>347.2466</v>
      </c>
      <c r="P23" s="22">
        <v>2940.03</v>
      </c>
      <c r="Q23" s="22">
        <v>3154.46</v>
      </c>
      <c r="R23" s="22">
        <v>3103.87</v>
      </c>
    </row>
    <row r="24" spans="1:18" x14ac:dyDescent="0.25">
      <c r="A24" s="26" t="s">
        <v>24</v>
      </c>
      <c r="B24" s="26">
        <v>11</v>
      </c>
      <c r="C24" s="26">
        <v>1</v>
      </c>
      <c r="D24" s="26">
        <v>124</v>
      </c>
      <c r="E24" s="26">
        <f t="shared" si="0"/>
        <v>136</v>
      </c>
      <c r="G24" s="7">
        <v>117.33</v>
      </c>
      <c r="H24" s="7">
        <v>88</v>
      </c>
      <c r="I24" s="7">
        <v>129.33000000000001</v>
      </c>
      <c r="J24" s="7">
        <v>128.19999999999999</v>
      </c>
      <c r="L24" s="7">
        <v>114.09386000000001</v>
      </c>
      <c r="M24" s="7">
        <v>110.3922</v>
      </c>
      <c r="N24" s="7">
        <v>110.65349999999999</v>
      </c>
      <c r="P24" s="22">
        <v>858.44</v>
      </c>
      <c r="Q24" s="22">
        <v>1051.9000000000001</v>
      </c>
      <c r="R24" s="22">
        <v>1038.24</v>
      </c>
    </row>
    <row r="25" spans="1:18" x14ac:dyDescent="0.25">
      <c r="A25" s="26" t="s">
        <v>25</v>
      </c>
      <c r="B25" s="26">
        <v>569</v>
      </c>
      <c r="C25" s="26">
        <v>1</v>
      </c>
      <c r="D25" s="26">
        <v>1779</v>
      </c>
      <c r="E25" s="26">
        <f t="shared" si="0"/>
        <v>2349</v>
      </c>
      <c r="G25" s="7">
        <v>101.65</v>
      </c>
      <c r="H25" s="7">
        <v>57</v>
      </c>
      <c r="I25" s="7">
        <v>100.5</v>
      </c>
      <c r="J25" s="7">
        <v>100.77</v>
      </c>
      <c r="L25" s="7">
        <v>319.95053999999999</v>
      </c>
      <c r="M25" s="7">
        <v>285.47539</v>
      </c>
      <c r="N25" s="7">
        <v>294.33370000000002</v>
      </c>
      <c r="P25" s="22">
        <v>3372.44</v>
      </c>
      <c r="Q25" s="22">
        <v>3017.61</v>
      </c>
      <c r="R25" s="22">
        <v>3108.78</v>
      </c>
    </row>
    <row r="26" spans="1:18" x14ac:dyDescent="0.25">
      <c r="A26" s="26" t="s">
        <v>26</v>
      </c>
      <c r="B26" s="26">
        <v>19</v>
      </c>
      <c r="C26" s="26">
        <v>0</v>
      </c>
      <c r="D26" s="26">
        <v>162</v>
      </c>
      <c r="E26" s="26">
        <f t="shared" si="0"/>
        <v>181</v>
      </c>
      <c r="G26" s="7">
        <v>140.37</v>
      </c>
      <c r="H26" s="7">
        <v>0</v>
      </c>
      <c r="I26" s="7">
        <v>121.32</v>
      </c>
      <c r="J26" s="7">
        <v>123.98</v>
      </c>
      <c r="L26" s="7">
        <v>104.43526</v>
      </c>
      <c r="M26" s="7">
        <v>63.341769999999997</v>
      </c>
      <c r="N26" s="7">
        <v>69.301899999999989</v>
      </c>
      <c r="P26" s="22">
        <v>886.85</v>
      </c>
      <c r="Q26" s="22">
        <v>590.12</v>
      </c>
      <c r="R26" s="22">
        <v>633.16</v>
      </c>
    </row>
    <row r="27" spans="1:18" x14ac:dyDescent="0.25">
      <c r="A27" s="26" t="s">
        <v>27</v>
      </c>
      <c r="B27" s="26">
        <v>142</v>
      </c>
      <c r="C27" s="26">
        <v>11</v>
      </c>
      <c r="D27" s="26">
        <v>370</v>
      </c>
      <c r="E27" s="26">
        <f t="shared" si="0"/>
        <v>523</v>
      </c>
      <c r="G27" s="7">
        <v>112.03</v>
      </c>
      <c r="H27" s="7">
        <v>76.75</v>
      </c>
      <c r="I27" s="7">
        <v>93.28</v>
      </c>
      <c r="J27" s="7">
        <v>97.86</v>
      </c>
      <c r="L27" s="7">
        <v>140.71479000000002</v>
      </c>
      <c r="M27" s="7">
        <v>133.00757999999999</v>
      </c>
      <c r="N27" s="7">
        <v>135.21734000000001</v>
      </c>
      <c r="P27" s="22">
        <v>1460.2</v>
      </c>
      <c r="Q27" s="22">
        <v>1441.24</v>
      </c>
      <c r="R27" s="22">
        <v>1446.68</v>
      </c>
    </row>
    <row r="28" spans="1:18" x14ac:dyDescent="0.25">
      <c r="A28" s="26" t="s">
        <v>28</v>
      </c>
      <c r="B28" s="26">
        <v>809</v>
      </c>
      <c r="C28" s="26">
        <v>52</v>
      </c>
      <c r="D28" s="26">
        <v>1394</v>
      </c>
      <c r="E28" s="26">
        <f t="shared" si="0"/>
        <v>2255</v>
      </c>
      <c r="G28" s="7">
        <v>96.85</v>
      </c>
      <c r="H28" s="7">
        <v>86.47</v>
      </c>
      <c r="I28" s="7">
        <v>96.35</v>
      </c>
      <c r="J28" s="7">
        <v>96.3</v>
      </c>
      <c r="L28" s="7">
        <v>230.27732999999998</v>
      </c>
      <c r="M28" s="7">
        <v>184.02211</v>
      </c>
      <c r="N28" s="7">
        <v>202.53389000000001</v>
      </c>
      <c r="P28" s="22">
        <v>2451.4699999999998</v>
      </c>
      <c r="Q28" s="22">
        <v>1934.18</v>
      </c>
      <c r="R28" s="22">
        <v>2141.1999999999998</v>
      </c>
    </row>
    <row r="29" spans="1:18" x14ac:dyDescent="0.25">
      <c r="A29" s="26" t="s">
        <v>72</v>
      </c>
      <c r="B29" s="26">
        <v>6</v>
      </c>
      <c r="C29" s="26">
        <v>0</v>
      </c>
      <c r="D29" s="26">
        <v>45</v>
      </c>
      <c r="E29" s="26">
        <f t="shared" si="0"/>
        <v>51</v>
      </c>
      <c r="G29" s="7">
        <v>137.80000000000001</v>
      </c>
      <c r="H29" s="7">
        <v>0</v>
      </c>
      <c r="I29" s="7">
        <v>92.31</v>
      </c>
      <c r="J29" s="7">
        <v>97.15</v>
      </c>
      <c r="L29" s="7">
        <v>269.08620000000002</v>
      </c>
      <c r="M29" s="7">
        <v>87.416529999999995</v>
      </c>
      <c r="N29" s="7">
        <v>107.16323</v>
      </c>
      <c r="P29" s="22">
        <v>1567.16</v>
      </c>
      <c r="Q29" s="22">
        <v>951.98</v>
      </c>
      <c r="R29" s="22">
        <v>1018.85</v>
      </c>
    </row>
    <row r="30" spans="1:18" x14ac:dyDescent="0.25">
      <c r="A30" s="26" t="s">
        <v>29</v>
      </c>
      <c r="B30" s="26">
        <v>964</v>
      </c>
      <c r="C30" s="26">
        <v>17</v>
      </c>
      <c r="D30" s="26">
        <v>3861</v>
      </c>
      <c r="E30" s="26">
        <f t="shared" si="0"/>
        <v>4842</v>
      </c>
      <c r="G30" s="7">
        <v>99.55</v>
      </c>
      <c r="H30" s="7">
        <v>71.75</v>
      </c>
      <c r="I30" s="7">
        <v>104.5</v>
      </c>
      <c r="J30" s="7">
        <v>103.4</v>
      </c>
      <c r="L30" s="7">
        <v>268.55922999999996</v>
      </c>
      <c r="M30" s="7">
        <v>244.02301</v>
      </c>
      <c r="N30" s="7">
        <v>248.97101999999998</v>
      </c>
      <c r="P30" s="22">
        <v>2783.62</v>
      </c>
      <c r="Q30" s="22">
        <v>2433.37</v>
      </c>
      <c r="R30" s="22">
        <v>2504</v>
      </c>
    </row>
    <row r="31" spans="1:18" x14ac:dyDescent="0.25">
      <c r="A31" s="26" t="s">
        <v>68</v>
      </c>
      <c r="B31" s="26">
        <v>37</v>
      </c>
      <c r="C31" s="26">
        <v>0</v>
      </c>
      <c r="D31" s="26">
        <v>106</v>
      </c>
      <c r="E31" s="26">
        <f t="shared" si="0"/>
        <v>143</v>
      </c>
      <c r="G31" s="7">
        <v>142</v>
      </c>
      <c r="H31" s="7">
        <v>0</v>
      </c>
      <c r="I31" s="7">
        <v>131.97999999999999</v>
      </c>
      <c r="J31" s="7">
        <v>134.56</v>
      </c>
      <c r="L31" s="7">
        <v>154.29642000000001</v>
      </c>
      <c r="M31" s="7">
        <v>172.00057999999999</v>
      </c>
      <c r="N31" s="7">
        <v>167.40029000000001</v>
      </c>
      <c r="P31" s="22">
        <v>1277.3499999999999</v>
      </c>
      <c r="Q31" s="22">
        <v>1449.69</v>
      </c>
      <c r="R31" s="22">
        <v>1404.91</v>
      </c>
    </row>
    <row r="32" spans="1:18" x14ac:dyDescent="0.25">
      <c r="A32" s="26" t="s">
        <v>30</v>
      </c>
      <c r="B32" s="26">
        <v>78</v>
      </c>
      <c r="C32" s="26">
        <v>0</v>
      </c>
      <c r="D32" s="26">
        <v>1394</v>
      </c>
      <c r="E32" s="26">
        <f t="shared" si="0"/>
        <v>1472</v>
      </c>
      <c r="G32" s="7">
        <v>85.68</v>
      </c>
      <c r="H32" s="7">
        <v>0</v>
      </c>
      <c r="I32" s="7">
        <v>83.38</v>
      </c>
      <c r="J32" s="7">
        <v>83.49</v>
      </c>
      <c r="L32" s="7">
        <v>63.094720000000002</v>
      </c>
      <c r="M32" s="7">
        <v>72.194729999999993</v>
      </c>
      <c r="N32" s="7">
        <v>71.763449999999992</v>
      </c>
      <c r="P32" s="22">
        <v>790.71</v>
      </c>
      <c r="Q32" s="22">
        <v>934.12</v>
      </c>
      <c r="R32" s="22">
        <v>927.32</v>
      </c>
    </row>
    <row r="33" spans="1:18" x14ac:dyDescent="0.25">
      <c r="A33" s="26" t="s">
        <v>31</v>
      </c>
      <c r="B33" s="26">
        <v>27</v>
      </c>
      <c r="C33" s="26">
        <v>0</v>
      </c>
      <c r="D33" s="26">
        <v>282</v>
      </c>
      <c r="E33" s="26">
        <f t="shared" si="0"/>
        <v>309</v>
      </c>
      <c r="G33" s="7">
        <v>106.48</v>
      </c>
      <c r="H33" s="7">
        <v>0</v>
      </c>
      <c r="I33" s="7">
        <v>103.78</v>
      </c>
      <c r="J33" s="7">
        <v>104.01</v>
      </c>
      <c r="L33" s="7">
        <v>108.11803</v>
      </c>
      <c r="M33" s="7">
        <v>91.154210000000006</v>
      </c>
      <c r="N33" s="7">
        <v>92.657330000000002</v>
      </c>
      <c r="P33" s="22">
        <v>1045.8800000000001</v>
      </c>
      <c r="Q33" s="22">
        <v>957.75</v>
      </c>
      <c r="R33" s="22">
        <v>965.56</v>
      </c>
    </row>
    <row r="34" spans="1:18" x14ac:dyDescent="0.25">
      <c r="A34" s="26" t="s">
        <v>32</v>
      </c>
      <c r="B34" s="26">
        <v>331</v>
      </c>
      <c r="C34" s="26">
        <v>8</v>
      </c>
      <c r="D34" s="26">
        <v>1129</v>
      </c>
      <c r="E34" s="26">
        <f t="shared" si="0"/>
        <v>1468</v>
      </c>
      <c r="G34" s="7">
        <v>99.28</v>
      </c>
      <c r="H34" s="7">
        <v>75.87</v>
      </c>
      <c r="I34" s="7">
        <v>102.72</v>
      </c>
      <c r="J34" s="7">
        <v>101.77</v>
      </c>
      <c r="L34" s="7">
        <v>200.00001</v>
      </c>
      <c r="M34" s="7">
        <v>147.30041</v>
      </c>
      <c r="N34" s="7">
        <v>159.84602999999998</v>
      </c>
      <c r="P34" s="22">
        <v>2125.92</v>
      </c>
      <c r="Q34" s="22">
        <v>1541.05</v>
      </c>
      <c r="R34" s="22">
        <v>1680.28</v>
      </c>
    </row>
    <row r="35" spans="1:18" x14ac:dyDescent="0.25">
      <c r="A35" s="26" t="s">
        <v>33</v>
      </c>
      <c r="B35" s="26">
        <v>0</v>
      </c>
      <c r="C35" s="26">
        <v>0</v>
      </c>
      <c r="D35" s="26">
        <v>156</v>
      </c>
      <c r="E35" s="26">
        <f t="shared" si="0"/>
        <v>156</v>
      </c>
      <c r="G35" s="7">
        <v>0</v>
      </c>
      <c r="H35" s="7">
        <v>0</v>
      </c>
      <c r="I35" s="7">
        <v>96.6</v>
      </c>
      <c r="J35" s="7">
        <v>96.6</v>
      </c>
      <c r="L35" s="7">
        <v>0</v>
      </c>
      <c r="M35" s="7">
        <v>80.009249999999994</v>
      </c>
      <c r="N35" s="7">
        <v>80.009249999999994</v>
      </c>
      <c r="P35" s="22">
        <v>0</v>
      </c>
      <c r="Q35" s="22">
        <v>885.56</v>
      </c>
      <c r="R35" s="22">
        <v>885.56</v>
      </c>
    </row>
    <row r="36" spans="1:18" x14ac:dyDescent="0.25">
      <c r="A36" s="26" t="s">
        <v>34</v>
      </c>
      <c r="B36" s="26">
        <v>0</v>
      </c>
      <c r="C36" s="26">
        <v>0</v>
      </c>
      <c r="D36" s="26">
        <v>160</v>
      </c>
      <c r="E36" s="26">
        <f t="shared" si="0"/>
        <v>160</v>
      </c>
      <c r="G36" s="7">
        <v>0</v>
      </c>
      <c r="H36" s="7">
        <v>0</v>
      </c>
      <c r="I36" s="7">
        <v>94.2</v>
      </c>
      <c r="J36" s="7">
        <v>94.2</v>
      </c>
      <c r="L36" s="7">
        <v>0</v>
      </c>
      <c r="M36" s="7">
        <v>118.79339999999999</v>
      </c>
      <c r="N36" s="7">
        <v>118.79339999999999</v>
      </c>
      <c r="P36" s="22">
        <v>0</v>
      </c>
      <c r="Q36" s="22">
        <v>1457.41</v>
      </c>
      <c r="R36" s="22">
        <v>1457.41</v>
      </c>
    </row>
    <row r="37" spans="1:18" x14ac:dyDescent="0.25">
      <c r="A37" s="26" t="s">
        <v>35</v>
      </c>
      <c r="B37" s="26">
        <v>46</v>
      </c>
      <c r="C37" s="26">
        <v>5</v>
      </c>
      <c r="D37" s="26">
        <v>187</v>
      </c>
      <c r="E37" s="26">
        <f t="shared" si="0"/>
        <v>238</v>
      </c>
      <c r="G37" s="7">
        <v>163.85</v>
      </c>
      <c r="H37" s="7">
        <v>92.2</v>
      </c>
      <c r="I37" s="7">
        <v>120</v>
      </c>
      <c r="J37" s="7">
        <v>127.92</v>
      </c>
      <c r="L37" s="7">
        <v>223.64010000000002</v>
      </c>
      <c r="M37" s="7">
        <v>190.87988000000001</v>
      </c>
      <c r="N37" s="7">
        <v>198.00905</v>
      </c>
      <c r="P37" s="22">
        <v>1570.65</v>
      </c>
      <c r="Q37" s="22">
        <v>1801.44</v>
      </c>
      <c r="R37" s="22">
        <v>1751.22</v>
      </c>
    </row>
    <row r="38" spans="1:18" x14ac:dyDescent="0.25">
      <c r="A38" s="26" t="s">
        <v>36</v>
      </c>
      <c r="B38" s="26">
        <v>51</v>
      </c>
      <c r="C38" s="26">
        <v>4</v>
      </c>
      <c r="D38" s="26">
        <v>193</v>
      </c>
      <c r="E38" s="26">
        <f t="shared" si="0"/>
        <v>248</v>
      </c>
      <c r="G38" s="7">
        <v>109.91</v>
      </c>
      <c r="H38" s="7">
        <v>48.5</v>
      </c>
      <c r="I38" s="7">
        <v>118.42</v>
      </c>
      <c r="J38" s="7">
        <v>115.85</v>
      </c>
      <c r="L38" s="7">
        <v>111.71476</v>
      </c>
      <c r="M38" s="7">
        <v>95.813520000000011</v>
      </c>
      <c r="N38" s="7">
        <v>99.61215</v>
      </c>
      <c r="P38" s="22">
        <v>1063.58</v>
      </c>
      <c r="Q38" s="22">
        <v>847.48</v>
      </c>
      <c r="R38" s="22">
        <v>899.1</v>
      </c>
    </row>
    <row r="39" spans="1:18" x14ac:dyDescent="0.25">
      <c r="A39" s="26" t="s">
        <v>37</v>
      </c>
      <c r="B39" s="26">
        <v>2</v>
      </c>
      <c r="C39" s="26">
        <v>0</v>
      </c>
      <c r="D39" s="26">
        <v>64</v>
      </c>
      <c r="E39" s="26">
        <f t="shared" si="0"/>
        <v>66</v>
      </c>
      <c r="G39" s="7">
        <v>208</v>
      </c>
      <c r="H39" s="7">
        <v>0</v>
      </c>
      <c r="I39" s="7">
        <v>135.27000000000001</v>
      </c>
      <c r="J39" s="7">
        <v>136.66999999999999</v>
      </c>
      <c r="L39" s="7">
        <v>0</v>
      </c>
      <c r="M39" s="7">
        <v>97.930499999999995</v>
      </c>
      <c r="N39" s="7">
        <v>97.088719999999995</v>
      </c>
      <c r="P39" s="22">
        <v>0</v>
      </c>
      <c r="Q39" s="22">
        <v>801.75</v>
      </c>
      <c r="R39" s="22">
        <v>791.21</v>
      </c>
    </row>
    <row r="40" spans="1:18" x14ac:dyDescent="0.25">
      <c r="A40" s="26" t="s">
        <v>38</v>
      </c>
      <c r="B40" s="26">
        <v>48</v>
      </c>
      <c r="C40" s="26">
        <v>7</v>
      </c>
      <c r="D40" s="26">
        <v>176</v>
      </c>
      <c r="E40" s="26">
        <f t="shared" si="0"/>
        <v>231</v>
      </c>
      <c r="G40" s="7">
        <v>110.6</v>
      </c>
      <c r="H40" s="7">
        <v>59.6</v>
      </c>
      <c r="I40" s="7">
        <v>104.34</v>
      </c>
      <c r="J40" s="7">
        <v>104.71</v>
      </c>
      <c r="L40" s="7">
        <v>55.462230000000005</v>
      </c>
      <c r="M40" s="7">
        <v>76.151589999999999</v>
      </c>
      <c r="N40" s="7">
        <v>70.89537</v>
      </c>
      <c r="P40" s="22">
        <v>479.64</v>
      </c>
      <c r="Q40" s="22">
        <v>772.94</v>
      </c>
      <c r="R40" s="22">
        <v>698.42</v>
      </c>
    </row>
    <row r="41" spans="1:18" x14ac:dyDescent="0.25">
      <c r="A41" s="26" t="s">
        <v>39</v>
      </c>
      <c r="B41" s="26">
        <v>90</v>
      </c>
      <c r="C41" s="26">
        <v>0</v>
      </c>
      <c r="D41" s="26">
        <v>293</v>
      </c>
      <c r="E41" s="26">
        <f t="shared" si="0"/>
        <v>383</v>
      </c>
      <c r="G41" s="7">
        <v>123.8</v>
      </c>
      <c r="H41" s="7">
        <v>0</v>
      </c>
      <c r="I41" s="7">
        <v>100.63</v>
      </c>
      <c r="J41" s="7">
        <v>105.47</v>
      </c>
      <c r="L41" s="7">
        <v>131.72460999999998</v>
      </c>
      <c r="M41" s="7">
        <v>134.74092999999999</v>
      </c>
      <c r="N41" s="7">
        <v>134.11252999999999</v>
      </c>
      <c r="P41" s="22">
        <v>1373.11</v>
      </c>
      <c r="Q41" s="22">
        <v>1517.41</v>
      </c>
      <c r="R41" s="22">
        <v>1487.35</v>
      </c>
    </row>
    <row r="42" spans="1:18" x14ac:dyDescent="0.25">
      <c r="A42" s="26" t="s">
        <v>40</v>
      </c>
      <c r="B42" s="26">
        <v>46</v>
      </c>
      <c r="C42" s="26">
        <v>2</v>
      </c>
      <c r="D42" s="26">
        <v>125</v>
      </c>
      <c r="E42" s="26">
        <f t="shared" si="0"/>
        <v>173</v>
      </c>
      <c r="G42" s="7">
        <v>140.22</v>
      </c>
      <c r="H42" s="7">
        <v>66</v>
      </c>
      <c r="I42" s="7">
        <v>103.35</v>
      </c>
      <c r="J42" s="7">
        <v>113.2</v>
      </c>
      <c r="L42" s="7">
        <v>146.98563000000001</v>
      </c>
      <c r="M42" s="7">
        <v>88.934789999999992</v>
      </c>
      <c r="N42" s="7">
        <v>106.95057000000001</v>
      </c>
      <c r="P42" s="22">
        <v>1097.96</v>
      </c>
      <c r="Q42" s="22">
        <v>882.53</v>
      </c>
      <c r="R42" s="22">
        <v>949.38</v>
      </c>
    </row>
    <row r="43" spans="1:18" x14ac:dyDescent="0.25">
      <c r="A43" s="26" t="s">
        <v>41</v>
      </c>
      <c r="B43" s="26">
        <v>676</v>
      </c>
      <c r="C43" s="26">
        <v>82</v>
      </c>
      <c r="D43" s="26">
        <v>1553</v>
      </c>
      <c r="E43" s="26">
        <f t="shared" si="0"/>
        <v>2311</v>
      </c>
      <c r="G43" s="7">
        <v>106.24</v>
      </c>
      <c r="H43" s="7">
        <v>86.58</v>
      </c>
      <c r="I43" s="7">
        <v>100.07</v>
      </c>
      <c r="J43" s="7">
        <v>101.53</v>
      </c>
      <c r="L43" s="7">
        <v>147.41651999999999</v>
      </c>
      <c r="M43" s="7">
        <v>102.51183999999999</v>
      </c>
      <c r="N43" s="7">
        <v>117.68809</v>
      </c>
      <c r="P43" s="22">
        <v>1345.89</v>
      </c>
      <c r="Q43" s="22">
        <v>1059.92</v>
      </c>
      <c r="R43" s="22">
        <v>1156.56</v>
      </c>
    </row>
    <row r="44" spans="1:18" x14ac:dyDescent="0.25">
      <c r="A44" s="26" t="s">
        <v>42</v>
      </c>
      <c r="B44" s="26">
        <v>267</v>
      </c>
      <c r="C44" s="26">
        <v>2</v>
      </c>
      <c r="D44" s="26">
        <v>2375</v>
      </c>
      <c r="E44" s="26">
        <f t="shared" si="0"/>
        <v>2644</v>
      </c>
      <c r="G44" s="7">
        <v>128.38999999999999</v>
      </c>
      <c r="H44" s="7">
        <v>88.5</v>
      </c>
      <c r="I44" s="7">
        <v>101.72</v>
      </c>
      <c r="J44" s="7">
        <v>104.14</v>
      </c>
      <c r="L44" s="7">
        <v>248.85165000000001</v>
      </c>
      <c r="M44" s="7">
        <v>173.32195000000002</v>
      </c>
      <c r="N44" s="7">
        <v>180.24381</v>
      </c>
      <c r="P44" s="22">
        <v>2028.61</v>
      </c>
      <c r="Q44" s="22">
        <v>1895.14</v>
      </c>
      <c r="R44" s="22">
        <v>1907.37</v>
      </c>
    </row>
    <row r="45" spans="1:18" x14ac:dyDescent="0.25">
      <c r="A45" s="26" t="s">
        <v>43</v>
      </c>
      <c r="B45" s="26">
        <v>6</v>
      </c>
      <c r="C45" s="26">
        <v>0</v>
      </c>
      <c r="D45" s="26">
        <v>112</v>
      </c>
      <c r="E45" s="26">
        <f t="shared" si="0"/>
        <v>118</v>
      </c>
      <c r="G45" s="7">
        <v>90.5</v>
      </c>
      <c r="H45" s="7">
        <v>0</v>
      </c>
      <c r="I45" s="7">
        <v>105.27</v>
      </c>
      <c r="J45" s="7">
        <v>104.68</v>
      </c>
      <c r="L45" s="7">
        <v>51.475000000000001</v>
      </c>
      <c r="M45" s="7">
        <v>115.19033999999999</v>
      </c>
      <c r="N45" s="7">
        <v>112.42010999999999</v>
      </c>
      <c r="P45" s="22">
        <v>565.36</v>
      </c>
      <c r="Q45" s="22">
        <v>1244.17</v>
      </c>
      <c r="R45" s="22">
        <v>1214.6600000000001</v>
      </c>
    </row>
    <row r="46" spans="1:18" x14ac:dyDescent="0.25">
      <c r="A46" s="26" t="s">
        <v>44</v>
      </c>
      <c r="B46" s="26">
        <v>817</v>
      </c>
      <c r="C46" s="26">
        <v>24</v>
      </c>
      <c r="D46" s="26">
        <v>4057</v>
      </c>
      <c r="E46" s="26">
        <f t="shared" si="0"/>
        <v>4898</v>
      </c>
      <c r="G46" s="7">
        <v>97.92</v>
      </c>
      <c r="H46" s="7">
        <v>68.58</v>
      </c>
      <c r="I46" s="7">
        <v>81.91</v>
      </c>
      <c r="J46" s="7">
        <v>84.36</v>
      </c>
      <c r="L46" s="7">
        <v>178.75427999999999</v>
      </c>
      <c r="M46" s="7">
        <v>139.72432000000001</v>
      </c>
      <c r="N46" s="7">
        <v>146.06601000000001</v>
      </c>
      <c r="P46" s="22">
        <v>1996.29</v>
      </c>
      <c r="Q46" s="22">
        <v>1830.45</v>
      </c>
      <c r="R46" s="22">
        <v>1857.39</v>
      </c>
    </row>
    <row r="47" spans="1:18" x14ac:dyDescent="0.25">
      <c r="A47" s="26" t="s">
        <v>45</v>
      </c>
      <c r="B47" s="26">
        <v>9</v>
      </c>
      <c r="C47" s="26">
        <v>0</v>
      </c>
      <c r="D47" s="26">
        <v>44</v>
      </c>
      <c r="E47" s="26">
        <f t="shared" si="0"/>
        <v>53</v>
      </c>
      <c r="G47" s="7">
        <v>87</v>
      </c>
      <c r="H47" s="7">
        <v>0</v>
      </c>
      <c r="I47" s="7">
        <v>98.61</v>
      </c>
      <c r="J47" s="7">
        <v>96.47</v>
      </c>
      <c r="L47" s="7">
        <v>52.3125</v>
      </c>
      <c r="M47" s="7">
        <v>92.22547999999999</v>
      </c>
      <c r="N47" s="7">
        <v>84.038210000000007</v>
      </c>
      <c r="P47" s="22">
        <v>802.15</v>
      </c>
      <c r="Q47" s="22">
        <v>1152.3900000000001</v>
      </c>
      <c r="R47" s="22">
        <v>1080.55</v>
      </c>
    </row>
    <row r="48" spans="1:18" x14ac:dyDescent="0.25">
      <c r="A48" s="26" t="s">
        <v>46</v>
      </c>
      <c r="B48" s="26">
        <v>157</v>
      </c>
      <c r="C48" s="26">
        <v>3</v>
      </c>
      <c r="D48" s="26">
        <v>339</v>
      </c>
      <c r="E48" s="26">
        <f t="shared" si="0"/>
        <v>499</v>
      </c>
      <c r="G48" s="7">
        <v>95.78</v>
      </c>
      <c r="H48" s="7">
        <v>85.5</v>
      </c>
      <c r="I48" s="7">
        <v>104.2</v>
      </c>
      <c r="J48" s="7">
        <v>101.62</v>
      </c>
      <c r="L48" s="7">
        <v>95.067460000000011</v>
      </c>
      <c r="M48" s="7">
        <v>81.0518</v>
      </c>
      <c r="N48" s="7">
        <v>85.371089999999995</v>
      </c>
      <c r="P48" s="22">
        <v>1085.05</v>
      </c>
      <c r="Q48" s="22">
        <v>864.78</v>
      </c>
      <c r="R48" s="22">
        <v>932.66</v>
      </c>
    </row>
    <row r="49" spans="1:18" x14ac:dyDescent="0.25">
      <c r="A49" s="26" t="s">
        <v>47</v>
      </c>
      <c r="B49" s="26">
        <v>53</v>
      </c>
      <c r="C49" s="26">
        <v>0</v>
      </c>
      <c r="D49" s="26">
        <v>370</v>
      </c>
      <c r="E49" s="26">
        <f t="shared" si="0"/>
        <v>423</v>
      </c>
      <c r="G49" s="7">
        <v>168.45</v>
      </c>
      <c r="H49" s="7">
        <v>0</v>
      </c>
      <c r="I49" s="7">
        <v>96.48</v>
      </c>
      <c r="J49" s="7">
        <v>105.71</v>
      </c>
      <c r="L49" s="7">
        <v>847.29822999999999</v>
      </c>
      <c r="M49" s="7">
        <v>285.87488000000002</v>
      </c>
      <c r="N49" s="7">
        <v>358.10478000000001</v>
      </c>
      <c r="P49" s="22">
        <v>3700.1</v>
      </c>
      <c r="Q49" s="22">
        <v>3074.49</v>
      </c>
      <c r="R49" s="22">
        <v>3154.97</v>
      </c>
    </row>
    <row r="50" spans="1:18" x14ac:dyDescent="0.25">
      <c r="A50" s="26" t="s">
        <v>48</v>
      </c>
      <c r="B50" s="26">
        <v>1530</v>
      </c>
      <c r="C50" s="26">
        <v>90</v>
      </c>
      <c r="D50" s="26">
        <v>7618</v>
      </c>
      <c r="E50" s="26">
        <f t="shared" si="0"/>
        <v>9238</v>
      </c>
      <c r="G50" s="7">
        <v>95.77</v>
      </c>
      <c r="H50" s="7">
        <v>68.86</v>
      </c>
      <c r="I50" s="7">
        <v>94.49</v>
      </c>
      <c r="J50" s="7">
        <v>94.46</v>
      </c>
      <c r="L50" s="7">
        <v>256.65001999999998</v>
      </c>
      <c r="M50" s="7">
        <v>211.44110999999998</v>
      </c>
      <c r="N50" s="7">
        <v>219.42487</v>
      </c>
      <c r="P50" s="22">
        <v>2763.22</v>
      </c>
      <c r="Q50" s="22">
        <v>2289.3000000000002</v>
      </c>
      <c r="R50" s="22">
        <v>2372.9899999999998</v>
      </c>
    </row>
    <row r="51" spans="1:18" x14ac:dyDescent="0.25">
      <c r="A51" s="26" t="s">
        <v>49</v>
      </c>
      <c r="B51" s="26">
        <v>835</v>
      </c>
      <c r="C51" s="26">
        <v>22</v>
      </c>
      <c r="D51" s="26">
        <v>3172</v>
      </c>
      <c r="E51" s="26">
        <f t="shared" si="0"/>
        <v>4029</v>
      </c>
      <c r="G51" s="7">
        <v>118.91</v>
      </c>
      <c r="H51" s="7">
        <v>76.11</v>
      </c>
      <c r="I51" s="7">
        <v>113.72</v>
      </c>
      <c r="J51" s="7">
        <v>114.62</v>
      </c>
      <c r="L51" s="7">
        <v>237.85648</v>
      </c>
      <c r="M51" s="7">
        <v>210.85029999999998</v>
      </c>
      <c r="N51" s="7">
        <v>216.78091000000001</v>
      </c>
      <c r="P51" s="22">
        <v>2223.14</v>
      </c>
      <c r="Q51" s="22">
        <v>2026.51</v>
      </c>
      <c r="R51" s="22">
        <v>2069.69</v>
      </c>
    </row>
    <row r="52" spans="1:18" x14ac:dyDescent="0.25">
      <c r="A52" s="26"/>
      <c r="B52" s="26"/>
      <c r="C52" s="26"/>
      <c r="D52" s="26"/>
      <c r="E52" s="26"/>
      <c r="G52" s="7"/>
      <c r="H52" s="7"/>
      <c r="I52" s="7"/>
      <c r="J52" s="7"/>
      <c r="L52" s="7"/>
      <c r="M52" s="7"/>
      <c r="N52" s="7"/>
      <c r="P52" s="22"/>
      <c r="Q52" s="22"/>
      <c r="R52" s="22"/>
    </row>
    <row r="53" spans="1:18" x14ac:dyDescent="0.25">
      <c r="A53" s="33" t="s">
        <v>50</v>
      </c>
      <c r="B53" s="26"/>
      <c r="C53" s="26"/>
      <c r="D53" s="26"/>
      <c r="E53" s="26"/>
      <c r="G53" s="7"/>
      <c r="H53" s="7"/>
      <c r="I53" s="7"/>
      <c r="J53" s="7"/>
      <c r="L53" s="7"/>
      <c r="M53" s="7"/>
      <c r="N53" s="7"/>
      <c r="P53" s="22"/>
      <c r="Q53" s="22"/>
      <c r="R53" s="22"/>
    </row>
    <row r="54" spans="1:18" x14ac:dyDescent="0.25">
      <c r="A54" s="26" t="s">
        <v>51</v>
      </c>
      <c r="B54" s="26">
        <v>246</v>
      </c>
      <c r="C54" s="26">
        <v>5</v>
      </c>
      <c r="D54" s="26">
        <v>1283</v>
      </c>
      <c r="E54" s="26">
        <f t="shared" si="0"/>
        <v>1534</v>
      </c>
      <c r="G54" s="7">
        <v>145.02000000000001</v>
      </c>
      <c r="H54" s="7">
        <v>86.67</v>
      </c>
      <c r="I54" s="7">
        <v>100.59</v>
      </c>
      <c r="J54" s="7">
        <v>107.41</v>
      </c>
      <c r="L54" s="7">
        <v>455.37405999999999</v>
      </c>
      <c r="M54" s="7">
        <v>226.99323999999999</v>
      </c>
      <c r="N54" s="7">
        <v>262.54309000000001</v>
      </c>
      <c r="P54" s="22">
        <v>2758</v>
      </c>
      <c r="Q54" s="22">
        <v>2362.0100000000002</v>
      </c>
      <c r="R54" s="22">
        <v>2423.65</v>
      </c>
    </row>
    <row r="55" spans="1:18" x14ac:dyDescent="0.25">
      <c r="A55" s="26" t="s">
        <v>52</v>
      </c>
      <c r="B55" s="26">
        <v>1029</v>
      </c>
      <c r="C55" s="26">
        <v>82</v>
      </c>
      <c r="D55" s="26">
        <v>7445</v>
      </c>
      <c r="E55" s="26">
        <f t="shared" si="0"/>
        <v>8556</v>
      </c>
      <c r="G55" s="7">
        <v>100.62</v>
      </c>
      <c r="H55" s="7">
        <v>66.81</v>
      </c>
      <c r="I55" s="7">
        <v>87.21</v>
      </c>
      <c r="J55" s="7">
        <v>88.55</v>
      </c>
      <c r="L55" s="7">
        <v>177.77507999999997</v>
      </c>
      <c r="M55" s="7">
        <v>139.13916</v>
      </c>
      <c r="N55" s="7">
        <v>143.80467000000002</v>
      </c>
      <c r="P55" s="22">
        <v>1907.54</v>
      </c>
      <c r="Q55" s="22">
        <v>1727.16</v>
      </c>
      <c r="R55" s="22">
        <v>1748.94</v>
      </c>
    </row>
    <row r="56" spans="1:18" x14ac:dyDescent="0.25">
      <c r="A56" s="26" t="s">
        <v>53</v>
      </c>
      <c r="B56" s="26">
        <v>988</v>
      </c>
      <c r="C56" s="26">
        <v>28</v>
      </c>
      <c r="D56" s="26">
        <v>3182</v>
      </c>
      <c r="E56" s="26">
        <f t="shared" si="0"/>
        <v>4198</v>
      </c>
      <c r="G56" s="7">
        <v>98.8</v>
      </c>
      <c r="H56" s="7">
        <v>78.92</v>
      </c>
      <c r="I56" s="7">
        <v>98.62</v>
      </c>
      <c r="J56" s="7">
        <v>98.53</v>
      </c>
      <c r="L56" s="7">
        <v>140.08145999999999</v>
      </c>
      <c r="M56" s="7">
        <v>124.05134</v>
      </c>
      <c r="N56" s="7">
        <v>127.90988</v>
      </c>
      <c r="P56" s="22">
        <v>1512.23</v>
      </c>
      <c r="Q56" s="22">
        <v>1343.63</v>
      </c>
      <c r="R56" s="22">
        <v>1384.22</v>
      </c>
    </row>
    <row r="57" spans="1:18" x14ac:dyDescent="0.25">
      <c r="A57" s="26" t="s">
        <v>54</v>
      </c>
      <c r="B57" s="26">
        <v>2229</v>
      </c>
      <c r="C57" s="26">
        <v>85</v>
      </c>
      <c r="D57" s="26">
        <v>9972</v>
      </c>
      <c r="E57" s="26">
        <f t="shared" si="0"/>
        <v>12286</v>
      </c>
      <c r="G57" s="7">
        <v>107.1</v>
      </c>
      <c r="H57" s="7">
        <v>90.95</v>
      </c>
      <c r="I57" s="7">
        <v>100.01</v>
      </c>
      <c r="J57" s="7">
        <v>101.23</v>
      </c>
      <c r="L57" s="7">
        <v>223.21904999999998</v>
      </c>
      <c r="M57" s="7">
        <v>206.86363</v>
      </c>
      <c r="N57" s="7">
        <v>209.94620999999998</v>
      </c>
      <c r="P57" s="22">
        <v>2179.37</v>
      </c>
      <c r="Q57" s="22">
        <v>2220.23</v>
      </c>
      <c r="R57" s="22">
        <v>2212.5300000000002</v>
      </c>
    </row>
    <row r="58" spans="1:18" x14ac:dyDescent="0.25">
      <c r="A58" s="26" t="s">
        <v>55</v>
      </c>
      <c r="B58" s="26">
        <v>7219</v>
      </c>
      <c r="C58" s="26">
        <v>495</v>
      </c>
      <c r="D58" s="26">
        <v>39375</v>
      </c>
      <c r="E58" s="26">
        <f t="shared" si="0"/>
        <v>47089</v>
      </c>
      <c r="G58" s="7">
        <v>95.29</v>
      </c>
      <c r="H58" s="7">
        <v>71.62</v>
      </c>
      <c r="I58" s="7">
        <v>87.37</v>
      </c>
      <c r="J58" s="7">
        <v>88.39</v>
      </c>
      <c r="L58" s="7">
        <v>308.39553000000001</v>
      </c>
      <c r="M58" s="7">
        <v>256.93511000000001</v>
      </c>
      <c r="N58" s="7">
        <v>265.47189000000003</v>
      </c>
      <c r="P58" s="22">
        <v>3359.48</v>
      </c>
      <c r="Q58" s="22">
        <v>2976.76</v>
      </c>
      <c r="R58" s="22">
        <v>3040.25</v>
      </c>
    </row>
    <row r="59" spans="1:18" x14ac:dyDescent="0.25">
      <c r="A59" s="26" t="s">
        <v>56</v>
      </c>
      <c r="B59" s="26">
        <v>1474</v>
      </c>
      <c r="C59" s="26">
        <v>23</v>
      </c>
      <c r="D59" s="26">
        <v>5764</v>
      </c>
      <c r="E59" s="26">
        <f t="shared" si="0"/>
        <v>7261</v>
      </c>
      <c r="G59" s="7">
        <v>104.34</v>
      </c>
      <c r="H59" s="7">
        <v>66.709999999999994</v>
      </c>
      <c r="I59" s="7">
        <v>102.81</v>
      </c>
      <c r="J59" s="7">
        <v>103.01</v>
      </c>
      <c r="L59" s="7">
        <v>221.75891000000001</v>
      </c>
      <c r="M59" s="7">
        <v>191.31280999999998</v>
      </c>
      <c r="N59" s="7">
        <v>197.64685</v>
      </c>
      <c r="P59" s="22">
        <v>2366.2199999999998</v>
      </c>
      <c r="Q59" s="22">
        <v>2037.32</v>
      </c>
      <c r="R59" s="22">
        <v>2105.75</v>
      </c>
    </row>
    <row r="60" spans="1:18" x14ac:dyDescent="0.25">
      <c r="A60" s="26" t="s">
        <v>57</v>
      </c>
      <c r="B60" s="26">
        <v>976</v>
      </c>
      <c r="C60" s="26">
        <v>91</v>
      </c>
      <c r="D60" s="26">
        <v>2654</v>
      </c>
      <c r="E60" s="26">
        <f t="shared" si="0"/>
        <v>3721</v>
      </c>
      <c r="G60" s="7">
        <v>107.58</v>
      </c>
      <c r="H60" s="7">
        <v>84.84</v>
      </c>
      <c r="I60" s="7">
        <v>103.73</v>
      </c>
      <c r="J60" s="7">
        <v>104.37</v>
      </c>
      <c r="L60" s="7">
        <v>136.34896000000001</v>
      </c>
      <c r="M60" s="7">
        <v>95.029579999999996</v>
      </c>
      <c r="N60" s="7">
        <v>107.14349</v>
      </c>
      <c r="P60" s="22">
        <v>1263.9100000000001</v>
      </c>
      <c r="Q60" s="22">
        <v>971.16</v>
      </c>
      <c r="R60" s="22">
        <v>1056.99</v>
      </c>
    </row>
    <row r="61" spans="1:18" x14ac:dyDescent="0.25">
      <c r="A61" s="26" t="s">
        <v>58</v>
      </c>
      <c r="B61" s="26">
        <v>341</v>
      </c>
      <c r="C61" s="26">
        <v>8</v>
      </c>
      <c r="D61" s="26">
        <v>2679</v>
      </c>
      <c r="E61" s="26">
        <f t="shared" si="0"/>
        <v>3028</v>
      </c>
      <c r="G61" s="7">
        <v>88.58</v>
      </c>
      <c r="H61" s="7">
        <v>69</v>
      </c>
      <c r="I61" s="7">
        <v>91.4</v>
      </c>
      <c r="J61" s="7">
        <v>91.03</v>
      </c>
      <c r="L61" s="7">
        <v>74.185749999999999</v>
      </c>
      <c r="M61" s="7">
        <v>91.806330000000003</v>
      </c>
      <c r="N61" s="7">
        <v>89.839919999999992</v>
      </c>
      <c r="P61" s="22">
        <v>935.27</v>
      </c>
      <c r="Q61" s="22">
        <v>1053.3599999999999</v>
      </c>
      <c r="R61" s="22">
        <v>1040.19</v>
      </c>
    </row>
    <row r="62" spans="1:18" x14ac:dyDescent="0.25">
      <c r="A62" s="26"/>
      <c r="B62" s="26"/>
      <c r="C62" s="26"/>
      <c r="D62" s="26"/>
      <c r="E62" s="26"/>
      <c r="G62" s="7"/>
      <c r="H62" s="7"/>
      <c r="I62" s="7"/>
      <c r="J62" s="7"/>
      <c r="L62" s="7"/>
      <c r="M62" s="7"/>
      <c r="N62" s="7"/>
      <c r="P62" s="22"/>
      <c r="Q62" s="22"/>
      <c r="R62" s="22"/>
    </row>
    <row r="63" spans="1:18" x14ac:dyDescent="0.25">
      <c r="A63" s="33" t="s">
        <v>59</v>
      </c>
      <c r="B63" s="26"/>
      <c r="C63" s="26"/>
      <c r="D63" s="26"/>
      <c r="E63" s="26"/>
      <c r="G63" s="7"/>
      <c r="H63" s="7"/>
      <c r="I63" s="7"/>
      <c r="J63" s="7"/>
      <c r="L63" s="7"/>
      <c r="M63" s="7"/>
      <c r="N63" s="7"/>
      <c r="P63" s="22"/>
      <c r="Q63" s="22"/>
      <c r="R63" s="22"/>
    </row>
    <row r="64" spans="1:18" x14ac:dyDescent="0.25">
      <c r="A64" s="26" t="s">
        <v>60</v>
      </c>
      <c r="B64" s="26">
        <v>9249</v>
      </c>
      <c r="C64" s="26">
        <v>531</v>
      </c>
      <c r="D64" s="26">
        <v>46182</v>
      </c>
      <c r="E64" s="26">
        <f t="shared" si="0"/>
        <v>55962</v>
      </c>
      <c r="G64" s="7">
        <v>96.55</v>
      </c>
      <c r="H64" s="7">
        <v>72.09</v>
      </c>
      <c r="I64" s="7">
        <v>89.58</v>
      </c>
      <c r="J64" s="7">
        <v>90.54</v>
      </c>
      <c r="L64" s="7">
        <v>282.95679999999999</v>
      </c>
      <c r="M64" s="7">
        <v>243.6696</v>
      </c>
      <c r="N64" s="7">
        <v>250.64704</v>
      </c>
      <c r="P64" s="22">
        <v>3073.45</v>
      </c>
      <c r="Q64" s="22">
        <v>2793.36</v>
      </c>
      <c r="R64" s="22">
        <v>2843.1</v>
      </c>
    </row>
    <row r="65" spans="1:18" x14ac:dyDescent="0.25">
      <c r="A65" s="26" t="s">
        <v>61</v>
      </c>
      <c r="B65" s="26">
        <v>2292</v>
      </c>
      <c r="C65" s="26">
        <v>88</v>
      </c>
      <c r="D65" s="26">
        <v>10311</v>
      </c>
      <c r="E65" s="26">
        <f t="shared" si="0"/>
        <v>12691</v>
      </c>
      <c r="G65" s="7">
        <v>108.02</v>
      </c>
      <c r="H65" s="7">
        <v>90.77</v>
      </c>
      <c r="I65" s="7">
        <v>100.06</v>
      </c>
      <c r="J65" s="7">
        <v>101.44</v>
      </c>
      <c r="L65" s="7">
        <v>229.24856</v>
      </c>
      <c r="M65" s="7">
        <v>210.57431</v>
      </c>
      <c r="N65" s="7">
        <v>214.07861</v>
      </c>
      <c r="P65" s="22">
        <v>2208.4</v>
      </c>
      <c r="Q65" s="22">
        <v>2254.02</v>
      </c>
      <c r="R65" s="22">
        <v>2245.46</v>
      </c>
    </row>
    <row r="66" spans="1:18" x14ac:dyDescent="0.25">
      <c r="A66" s="26" t="s">
        <v>62</v>
      </c>
      <c r="B66" s="26">
        <v>1165</v>
      </c>
      <c r="C66" s="26">
        <v>93</v>
      </c>
      <c r="D66" s="26">
        <v>3727</v>
      </c>
      <c r="E66" s="26">
        <f t="shared" si="0"/>
        <v>4985</v>
      </c>
      <c r="G66" s="7">
        <v>113.79</v>
      </c>
      <c r="H66" s="7">
        <v>84.97</v>
      </c>
      <c r="I66" s="7">
        <v>102.77</v>
      </c>
      <c r="J66" s="7">
        <v>105.06</v>
      </c>
      <c r="L66" s="7">
        <v>187.08789999999999</v>
      </c>
      <c r="M66" s="7">
        <v>124.20947</v>
      </c>
      <c r="N66" s="7">
        <v>139.92032</v>
      </c>
      <c r="P66" s="22">
        <v>1464.15</v>
      </c>
      <c r="Q66" s="22">
        <v>1292.57</v>
      </c>
      <c r="R66" s="22">
        <v>1335.44</v>
      </c>
    </row>
    <row r="67" spans="1:18" x14ac:dyDescent="0.25">
      <c r="A67" s="26" t="s">
        <v>63</v>
      </c>
      <c r="B67" s="26">
        <v>1796</v>
      </c>
      <c r="C67" s="26">
        <v>105</v>
      </c>
      <c r="D67" s="26">
        <v>12134</v>
      </c>
      <c r="E67" s="26">
        <f t="shared" si="0"/>
        <v>14035</v>
      </c>
      <c r="G67" s="7">
        <v>100.4</v>
      </c>
      <c r="H67" s="7">
        <v>66.23</v>
      </c>
      <c r="I67" s="7">
        <v>89.91</v>
      </c>
      <c r="J67" s="7">
        <v>91.03</v>
      </c>
      <c r="L67" s="7">
        <v>157.4581</v>
      </c>
      <c r="M67" s="7">
        <v>132.58425</v>
      </c>
      <c r="N67" s="7">
        <v>135.80190999999999</v>
      </c>
      <c r="P67" s="22">
        <v>1717.24</v>
      </c>
      <c r="Q67" s="22">
        <v>1601.46</v>
      </c>
      <c r="R67" s="22">
        <v>1616.44</v>
      </c>
    </row>
    <row r="68" spans="1:18" x14ac:dyDescent="0.25">
      <c r="A68" s="26"/>
      <c r="B68" s="26"/>
      <c r="C68" s="26"/>
      <c r="D68" s="26"/>
      <c r="E68" s="26"/>
      <c r="G68" s="7"/>
      <c r="H68" s="7"/>
      <c r="I68" s="7"/>
      <c r="J68" s="7"/>
      <c r="L68" s="7"/>
      <c r="M68" s="7"/>
      <c r="N68" s="7"/>
      <c r="P68" s="22"/>
      <c r="Q68" s="22"/>
      <c r="R68" s="22"/>
    </row>
    <row r="69" spans="1:18" x14ac:dyDescent="0.25">
      <c r="A69" s="27" t="s">
        <v>64</v>
      </c>
      <c r="B69" s="27">
        <f>SUM(B64:B67)</f>
        <v>14502</v>
      </c>
      <c r="C69" s="27">
        <f>SUM(C64:C67)</f>
        <v>817</v>
      </c>
      <c r="D69" s="27">
        <f>SUM(D64:D67)</f>
        <v>72354</v>
      </c>
      <c r="E69" s="27">
        <f>SUM(E64:E67)</f>
        <v>87673</v>
      </c>
      <c r="F69" s="9"/>
      <c r="G69" s="10">
        <v>100.1</v>
      </c>
      <c r="H69" s="10">
        <v>74.39</v>
      </c>
      <c r="I69" s="10">
        <v>91.73</v>
      </c>
      <c r="J69" s="10">
        <v>92.94</v>
      </c>
      <c r="K69" s="9"/>
      <c r="L69" s="10">
        <v>252.23089000000002</v>
      </c>
      <c r="M69" s="10">
        <v>214.16167000000002</v>
      </c>
      <c r="N69" s="10">
        <v>220.81648000000001</v>
      </c>
      <c r="O69" s="9"/>
      <c r="P69" s="28">
        <v>2654.54</v>
      </c>
      <c r="Q69" s="28">
        <v>2439.44</v>
      </c>
      <c r="R69" s="28">
        <v>2477.04</v>
      </c>
    </row>
    <row r="71" spans="1:18" x14ac:dyDescent="0.25">
      <c r="A71" s="11" t="s">
        <v>71</v>
      </c>
    </row>
    <row r="72" spans="1:18" x14ac:dyDescent="0.25">
      <c r="A72" s="12" t="s">
        <v>70</v>
      </c>
    </row>
    <row r="73" spans="1:18" x14ac:dyDescent="0.25">
      <c r="A73" s="12" t="s">
        <v>69</v>
      </c>
    </row>
  </sheetData>
  <pageMargins left="0.74803149606299213" right="0.74803149606299213" top="0.39370078740157483" bottom="0" header="0" footer="0"/>
  <pageSetup paperSize="9" scale="4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73"/>
  <sheetViews>
    <sheetView workbookViewId="0"/>
  </sheetViews>
  <sheetFormatPr defaultColWidth="11.453125" defaultRowHeight="11.5" x14ac:dyDescent="0.25"/>
  <cols>
    <col min="1" max="1" width="35.7265625" style="1" customWidth="1"/>
    <col min="2" max="5" width="10.7265625" style="1" customWidth="1"/>
    <col min="6" max="6" width="2.7265625" style="1" customWidth="1"/>
    <col min="7" max="10" width="10.7265625" style="1" customWidth="1"/>
    <col min="11" max="11" width="2.7265625" style="1" customWidth="1"/>
    <col min="12" max="14" width="10.7265625" style="1" customWidth="1"/>
    <col min="15" max="15" width="2.7265625" style="1" customWidth="1"/>
    <col min="16" max="18" width="10.7265625" style="1" customWidth="1"/>
    <col min="19" max="16384" width="11.453125" style="1"/>
  </cols>
  <sheetData>
    <row r="1" spans="1:18" ht="14" x14ac:dyDescent="0.3">
      <c r="A1" s="23" t="s">
        <v>0</v>
      </c>
      <c r="B1" s="8"/>
      <c r="C1" s="8"/>
      <c r="D1" s="8"/>
      <c r="E1" s="8"/>
    </row>
    <row r="2" spans="1:18" ht="13" x14ac:dyDescent="0.3">
      <c r="A2" s="24" t="s">
        <v>74</v>
      </c>
      <c r="B2" s="8"/>
      <c r="C2" s="8"/>
      <c r="D2" s="8"/>
      <c r="E2" s="8"/>
    </row>
    <row r="3" spans="1:18" x14ac:dyDescent="0.25">
      <c r="A3" s="25" t="s">
        <v>73</v>
      </c>
      <c r="B3" s="8"/>
      <c r="C3" s="8"/>
      <c r="D3" s="8"/>
      <c r="E3" s="8"/>
    </row>
    <row r="4" spans="1:18" ht="13.5" x14ac:dyDescent="0.25">
      <c r="A4" s="8"/>
      <c r="B4" s="14" t="s">
        <v>1</v>
      </c>
      <c r="C4" s="15"/>
      <c r="D4" s="15"/>
      <c r="E4" s="15"/>
      <c r="G4" s="13" t="s">
        <v>67</v>
      </c>
      <c r="H4" s="3"/>
      <c r="I4" s="3"/>
      <c r="J4" s="3"/>
      <c r="L4" s="2" t="s">
        <v>65</v>
      </c>
      <c r="M4" s="2"/>
      <c r="N4" s="2"/>
      <c r="P4" s="2" t="s">
        <v>66</v>
      </c>
      <c r="Q4" s="2"/>
      <c r="R4" s="2"/>
    </row>
    <row r="5" spans="1:18" s="6" customFormat="1" ht="23" x14ac:dyDescent="0.25">
      <c r="A5" s="16"/>
      <c r="B5" s="17" t="s">
        <v>2</v>
      </c>
      <c r="C5" s="17" t="s">
        <v>3</v>
      </c>
      <c r="D5" s="17" t="s">
        <v>4</v>
      </c>
      <c r="E5" s="17" t="s">
        <v>5</v>
      </c>
      <c r="F5" s="5"/>
      <c r="G5" s="4" t="s">
        <v>2</v>
      </c>
      <c r="H5" s="4" t="s">
        <v>3</v>
      </c>
      <c r="I5" s="4" t="s">
        <v>4</v>
      </c>
      <c r="J5" s="4" t="s">
        <v>5</v>
      </c>
      <c r="K5" s="5"/>
      <c r="L5" s="4" t="s">
        <v>6</v>
      </c>
      <c r="M5" s="4" t="s">
        <v>4</v>
      </c>
      <c r="N5" s="4" t="s">
        <v>5</v>
      </c>
      <c r="O5" s="5"/>
      <c r="P5" s="4" t="s">
        <v>6</v>
      </c>
      <c r="Q5" s="4" t="s">
        <v>4</v>
      </c>
      <c r="R5" s="4" t="s">
        <v>5</v>
      </c>
    </row>
    <row r="6" spans="1:18" x14ac:dyDescent="0.25">
      <c r="A6" s="18" t="s">
        <v>7</v>
      </c>
      <c r="B6" s="26">
        <v>2904</v>
      </c>
      <c r="C6" s="26">
        <v>210</v>
      </c>
      <c r="D6" s="26">
        <v>12953</v>
      </c>
      <c r="E6" s="26">
        <f>SUM(B6:D6)</f>
        <v>16067</v>
      </c>
      <c r="G6" s="7">
        <v>89.13</v>
      </c>
      <c r="H6" s="7">
        <v>73.959999999999994</v>
      </c>
      <c r="I6" s="7">
        <v>78.05</v>
      </c>
      <c r="J6" s="7">
        <v>79.849999999999994</v>
      </c>
      <c r="L6" s="7">
        <v>298.23829999999998</v>
      </c>
      <c r="M6" s="7">
        <v>214.35129999999998</v>
      </c>
      <c r="N6" s="7">
        <v>229.80331000000001</v>
      </c>
      <c r="P6" s="22">
        <v>3398.21</v>
      </c>
      <c r="Q6" s="22">
        <v>2735.1</v>
      </c>
      <c r="R6" s="22">
        <v>2857.25</v>
      </c>
    </row>
    <row r="7" spans="1:18" x14ac:dyDescent="0.25">
      <c r="A7" s="19"/>
      <c r="B7" s="26"/>
      <c r="C7" s="26"/>
      <c r="D7" s="26"/>
      <c r="E7" s="26"/>
      <c r="G7" s="7"/>
      <c r="H7" s="7"/>
      <c r="I7" s="7"/>
      <c r="J7" s="7"/>
      <c r="L7" s="7"/>
      <c r="M7" s="7"/>
      <c r="N7" s="7"/>
      <c r="P7" s="22"/>
      <c r="Q7" s="22"/>
      <c r="R7" s="22"/>
    </row>
    <row r="8" spans="1:18" x14ac:dyDescent="0.25">
      <c r="A8" s="20" t="s">
        <v>8</v>
      </c>
      <c r="B8" s="26"/>
      <c r="C8" s="26"/>
      <c r="D8" s="26"/>
      <c r="E8" s="26"/>
      <c r="G8" s="7"/>
      <c r="H8" s="7"/>
      <c r="I8" s="7"/>
      <c r="J8" s="7"/>
      <c r="L8" s="7"/>
      <c r="M8" s="7"/>
      <c r="N8" s="7"/>
      <c r="P8" s="22"/>
      <c r="Q8" s="22"/>
      <c r="R8" s="22"/>
    </row>
    <row r="9" spans="1:18" x14ac:dyDescent="0.25">
      <c r="A9" s="19" t="s">
        <v>9</v>
      </c>
      <c r="B9" s="26">
        <v>6</v>
      </c>
      <c r="C9" s="26">
        <v>0</v>
      </c>
      <c r="D9" s="26">
        <v>367</v>
      </c>
      <c r="E9" s="26">
        <f t="shared" ref="E9:E67" si="0">SUM(B9:D9)</f>
        <v>373</v>
      </c>
      <c r="G9" s="7">
        <v>142.6</v>
      </c>
      <c r="H9" s="7">
        <v>0</v>
      </c>
      <c r="I9" s="7">
        <v>100.76</v>
      </c>
      <c r="J9" s="7">
        <v>101.41</v>
      </c>
      <c r="L9" s="7">
        <v>144.28</v>
      </c>
      <c r="M9" s="7">
        <v>110.595</v>
      </c>
      <c r="N9" s="7">
        <v>111.12297</v>
      </c>
      <c r="P9" s="22">
        <v>1172.6600000000001</v>
      </c>
      <c r="Q9" s="22">
        <v>1155.4000000000001</v>
      </c>
      <c r="R9" s="22">
        <v>1155.67</v>
      </c>
    </row>
    <row r="10" spans="1:18" x14ac:dyDescent="0.25">
      <c r="A10" s="19" t="s">
        <v>10</v>
      </c>
      <c r="B10" s="26">
        <v>263</v>
      </c>
      <c r="C10" s="26">
        <v>12</v>
      </c>
      <c r="D10" s="26">
        <v>3181</v>
      </c>
      <c r="E10" s="26">
        <f t="shared" si="0"/>
        <v>3456</v>
      </c>
      <c r="G10" s="7">
        <v>124.62</v>
      </c>
      <c r="H10" s="7">
        <v>119</v>
      </c>
      <c r="I10" s="7">
        <v>90.33</v>
      </c>
      <c r="J10" s="7">
        <v>93.08</v>
      </c>
      <c r="L10" s="7">
        <v>258.68089000000003</v>
      </c>
      <c r="M10" s="7">
        <v>199.17112</v>
      </c>
      <c r="N10" s="7">
        <v>203.82617999999999</v>
      </c>
      <c r="P10" s="22">
        <v>2148.86</v>
      </c>
      <c r="Q10" s="22">
        <v>2419.0100000000002</v>
      </c>
      <c r="R10" s="22">
        <v>2397.88</v>
      </c>
    </row>
    <row r="11" spans="1:18" x14ac:dyDescent="0.25">
      <c r="A11" s="19" t="s">
        <v>11</v>
      </c>
      <c r="B11" s="26">
        <v>302</v>
      </c>
      <c r="C11" s="26">
        <v>3</v>
      </c>
      <c r="D11" s="26">
        <v>936</v>
      </c>
      <c r="E11" s="26">
        <f t="shared" si="0"/>
        <v>1241</v>
      </c>
      <c r="G11" s="7">
        <v>107.04</v>
      </c>
      <c r="H11" s="7">
        <v>80.33</v>
      </c>
      <c r="I11" s="7">
        <v>108.28</v>
      </c>
      <c r="J11" s="7">
        <v>107.9</v>
      </c>
      <c r="L11" s="7">
        <v>173.52348999999998</v>
      </c>
      <c r="M11" s="7">
        <v>150.94617000000002</v>
      </c>
      <c r="N11" s="7">
        <v>156.77933999999999</v>
      </c>
      <c r="P11" s="22">
        <v>1905.19</v>
      </c>
      <c r="Q11" s="22">
        <v>1498.29</v>
      </c>
      <c r="R11" s="22">
        <v>1603.42</v>
      </c>
    </row>
    <row r="12" spans="1:18" x14ac:dyDescent="0.25">
      <c r="A12" s="19" t="s">
        <v>12</v>
      </c>
      <c r="B12" s="26">
        <v>71</v>
      </c>
      <c r="C12" s="26">
        <v>1</v>
      </c>
      <c r="D12" s="26">
        <v>136</v>
      </c>
      <c r="E12" s="26">
        <f t="shared" si="0"/>
        <v>208</v>
      </c>
      <c r="G12" s="7">
        <v>105.27</v>
      </c>
      <c r="H12" s="7">
        <v>0</v>
      </c>
      <c r="I12" s="7">
        <v>109.8</v>
      </c>
      <c r="J12" s="7">
        <v>108.29</v>
      </c>
      <c r="L12" s="7">
        <v>165.20444000000001</v>
      </c>
      <c r="M12" s="7">
        <v>133.53164000000001</v>
      </c>
      <c r="N12" s="7">
        <v>144.33765</v>
      </c>
      <c r="P12" s="22">
        <v>1536.89</v>
      </c>
      <c r="Q12" s="22">
        <v>1315.44</v>
      </c>
      <c r="R12" s="22">
        <v>1390.99</v>
      </c>
    </row>
    <row r="13" spans="1:18" x14ac:dyDescent="0.25">
      <c r="A13" s="19" t="s">
        <v>13</v>
      </c>
      <c r="B13" s="26">
        <v>0</v>
      </c>
      <c r="C13" s="26">
        <v>0</v>
      </c>
      <c r="D13" s="26">
        <v>87</v>
      </c>
      <c r="E13" s="26">
        <f t="shared" si="0"/>
        <v>87</v>
      </c>
      <c r="G13" s="7">
        <v>0</v>
      </c>
      <c r="H13" s="7">
        <v>0</v>
      </c>
      <c r="I13" s="7">
        <v>77.430000000000007</v>
      </c>
      <c r="J13" s="7">
        <v>77.430000000000007</v>
      </c>
      <c r="L13" s="7">
        <v>0</v>
      </c>
      <c r="M13" s="7">
        <v>98.39285000000001</v>
      </c>
      <c r="N13" s="7">
        <v>98.39285000000001</v>
      </c>
      <c r="P13" s="22">
        <v>0</v>
      </c>
      <c r="Q13" s="22">
        <v>1439.46</v>
      </c>
      <c r="R13" s="22">
        <v>1439.46</v>
      </c>
    </row>
    <row r="14" spans="1:18" x14ac:dyDescent="0.25">
      <c r="A14" s="19" t="s">
        <v>14</v>
      </c>
      <c r="B14" s="26">
        <v>193</v>
      </c>
      <c r="C14" s="26">
        <v>9</v>
      </c>
      <c r="D14" s="26">
        <v>1147</v>
      </c>
      <c r="E14" s="26">
        <f t="shared" si="0"/>
        <v>1349</v>
      </c>
      <c r="G14" s="7">
        <v>100.74</v>
      </c>
      <c r="H14" s="7">
        <v>75</v>
      </c>
      <c r="I14" s="7">
        <v>111.59</v>
      </c>
      <c r="J14" s="7">
        <v>109.9</v>
      </c>
      <c r="L14" s="7">
        <v>117.1172</v>
      </c>
      <c r="M14" s="7">
        <v>140.50107999999997</v>
      </c>
      <c r="N14" s="7">
        <v>137.22239000000002</v>
      </c>
      <c r="P14" s="22">
        <v>1256.24</v>
      </c>
      <c r="Q14" s="22">
        <v>1377.39</v>
      </c>
      <c r="R14" s="22">
        <v>1360.4</v>
      </c>
    </row>
    <row r="15" spans="1:18" x14ac:dyDescent="0.25">
      <c r="A15" s="19" t="s">
        <v>15</v>
      </c>
      <c r="B15" s="26">
        <v>559</v>
      </c>
      <c r="C15" s="26">
        <v>22</v>
      </c>
      <c r="D15" s="26">
        <v>1373</v>
      </c>
      <c r="E15" s="26">
        <f t="shared" si="0"/>
        <v>1954</v>
      </c>
      <c r="G15" s="7">
        <v>99.32</v>
      </c>
      <c r="H15" s="7">
        <v>84.45</v>
      </c>
      <c r="I15" s="7">
        <v>96.46</v>
      </c>
      <c r="J15" s="7">
        <v>97.14</v>
      </c>
      <c r="L15" s="7">
        <v>109.76953</v>
      </c>
      <c r="M15" s="7">
        <v>116.77163</v>
      </c>
      <c r="N15" s="7">
        <v>114.70674000000001</v>
      </c>
      <c r="P15" s="22">
        <v>1200.96</v>
      </c>
      <c r="Q15" s="22">
        <v>1277.21</v>
      </c>
      <c r="R15" s="22">
        <v>1254.72</v>
      </c>
    </row>
    <row r="16" spans="1:18" x14ac:dyDescent="0.25">
      <c r="A16" s="19" t="s">
        <v>16</v>
      </c>
      <c r="B16" s="26">
        <v>211</v>
      </c>
      <c r="C16" s="26">
        <v>60</v>
      </c>
      <c r="D16" s="26">
        <v>2962</v>
      </c>
      <c r="E16" s="26">
        <f t="shared" si="0"/>
        <v>3233</v>
      </c>
      <c r="G16" s="7">
        <v>108.58</v>
      </c>
      <c r="H16" s="7">
        <v>66.31</v>
      </c>
      <c r="I16" s="7">
        <v>90.95</v>
      </c>
      <c r="J16" s="7">
        <v>91.65</v>
      </c>
      <c r="L16" s="7">
        <v>178.23542999999998</v>
      </c>
      <c r="M16" s="7">
        <v>143.20049</v>
      </c>
      <c r="N16" s="7">
        <v>145.75729999999999</v>
      </c>
      <c r="P16" s="22">
        <v>1634.61</v>
      </c>
      <c r="Q16" s="22">
        <v>1668.32</v>
      </c>
      <c r="R16" s="22">
        <v>1665.86</v>
      </c>
    </row>
    <row r="17" spans="1:18" x14ac:dyDescent="0.25">
      <c r="A17" s="19" t="s">
        <v>17</v>
      </c>
      <c r="B17" s="26">
        <v>216</v>
      </c>
      <c r="C17" s="26">
        <v>0</v>
      </c>
      <c r="D17" s="26">
        <v>1118</v>
      </c>
      <c r="E17" s="26">
        <f t="shared" si="0"/>
        <v>1334</v>
      </c>
      <c r="G17" s="7">
        <v>76.91</v>
      </c>
      <c r="H17" s="7">
        <v>0</v>
      </c>
      <c r="I17" s="7">
        <v>96.11</v>
      </c>
      <c r="J17" s="7">
        <v>93.23</v>
      </c>
      <c r="L17" s="7">
        <v>89.588880000000003</v>
      </c>
      <c r="M17" s="7">
        <v>114.26008</v>
      </c>
      <c r="N17" s="7">
        <v>110.51469999999999</v>
      </c>
      <c r="P17" s="22">
        <v>1273.26</v>
      </c>
      <c r="Q17" s="22">
        <v>1204.72</v>
      </c>
      <c r="R17" s="22">
        <v>1215.1199999999999</v>
      </c>
    </row>
    <row r="18" spans="1:18" x14ac:dyDescent="0.25">
      <c r="A18" s="19" t="s">
        <v>18</v>
      </c>
      <c r="B18" s="26">
        <v>670</v>
      </c>
      <c r="C18" s="26">
        <v>6</v>
      </c>
      <c r="D18" s="26">
        <v>2498</v>
      </c>
      <c r="E18" s="26">
        <f t="shared" si="0"/>
        <v>3174</v>
      </c>
      <c r="G18" s="7">
        <v>103.45</v>
      </c>
      <c r="H18" s="7">
        <v>86</v>
      </c>
      <c r="I18" s="7">
        <v>110.62</v>
      </c>
      <c r="J18" s="7">
        <v>109.21</v>
      </c>
      <c r="L18" s="7">
        <v>251.36010000000002</v>
      </c>
      <c r="M18" s="7">
        <v>280.24493999999999</v>
      </c>
      <c r="N18" s="7">
        <v>274.65098</v>
      </c>
      <c r="P18" s="22">
        <v>2489.85</v>
      </c>
      <c r="Q18" s="22">
        <v>2629.02</v>
      </c>
      <c r="R18" s="22">
        <v>2602.0700000000002</v>
      </c>
    </row>
    <row r="19" spans="1:18" x14ac:dyDescent="0.25">
      <c r="A19" s="19" t="s">
        <v>19</v>
      </c>
      <c r="B19" s="26">
        <v>1408</v>
      </c>
      <c r="C19" s="26">
        <v>169</v>
      </c>
      <c r="D19" s="26">
        <v>6401</v>
      </c>
      <c r="E19" s="26">
        <f t="shared" si="0"/>
        <v>7978</v>
      </c>
      <c r="G19" s="7">
        <v>96.39</v>
      </c>
      <c r="H19" s="7">
        <v>80.81</v>
      </c>
      <c r="I19" s="7">
        <v>89.83</v>
      </c>
      <c r="J19" s="7">
        <v>90.6</v>
      </c>
      <c r="L19" s="7">
        <v>322.82590999999996</v>
      </c>
      <c r="M19" s="7">
        <v>236.33870999999999</v>
      </c>
      <c r="N19" s="7">
        <v>250.36623</v>
      </c>
      <c r="P19" s="22">
        <v>3542.99</v>
      </c>
      <c r="Q19" s="22">
        <v>2780.91</v>
      </c>
      <c r="R19" s="22">
        <v>2904.51</v>
      </c>
    </row>
    <row r="20" spans="1:18" x14ac:dyDescent="0.25">
      <c r="A20" s="19" t="s">
        <v>20</v>
      </c>
      <c r="B20" s="26">
        <v>414</v>
      </c>
      <c r="C20" s="26">
        <v>13</v>
      </c>
      <c r="D20" s="26">
        <v>1999</v>
      </c>
      <c r="E20" s="26">
        <f t="shared" si="0"/>
        <v>2426</v>
      </c>
      <c r="G20" s="7">
        <v>103.91</v>
      </c>
      <c r="H20" s="7">
        <v>65.42</v>
      </c>
      <c r="I20" s="7">
        <v>99.2</v>
      </c>
      <c r="J20" s="7">
        <v>99.8</v>
      </c>
      <c r="L20" s="7">
        <v>162.89981</v>
      </c>
      <c r="M20" s="7">
        <v>151.80606</v>
      </c>
      <c r="N20" s="7">
        <v>153.68191000000002</v>
      </c>
      <c r="P20" s="22">
        <v>1830.97</v>
      </c>
      <c r="Q20" s="22">
        <v>1723.71</v>
      </c>
      <c r="R20" s="22">
        <v>1741.84</v>
      </c>
    </row>
    <row r="21" spans="1:18" x14ac:dyDescent="0.25">
      <c r="A21" s="19" t="s">
        <v>21</v>
      </c>
      <c r="B21" s="26">
        <v>2543</v>
      </c>
      <c r="C21" s="26">
        <v>204</v>
      </c>
      <c r="D21" s="26">
        <v>19177</v>
      </c>
      <c r="E21" s="26">
        <f t="shared" si="0"/>
        <v>21924</v>
      </c>
      <c r="G21" s="7">
        <v>82.14</v>
      </c>
      <c r="H21" s="7">
        <v>68.900000000000006</v>
      </c>
      <c r="I21" s="7">
        <v>74.819999999999993</v>
      </c>
      <c r="J21" s="7">
        <v>75.62</v>
      </c>
      <c r="L21" s="7">
        <v>366.91403000000003</v>
      </c>
      <c r="M21" s="7">
        <v>297.41717999999997</v>
      </c>
      <c r="N21" s="7">
        <v>307.10035999999997</v>
      </c>
      <c r="P21" s="22">
        <v>4266.6400000000003</v>
      </c>
      <c r="Q21" s="22">
        <v>3685.56</v>
      </c>
      <c r="R21" s="22">
        <v>3766.52</v>
      </c>
    </row>
    <row r="22" spans="1:18" x14ac:dyDescent="0.25">
      <c r="A22" s="19" t="s">
        <v>22</v>
      </c>
      <c r="B22" s="26">
        <v>17</v>
      </c>
      <c r="C22" s="26">
        <v>0</v>
      </c>
      <c r="D22" s="26">
        <v>381</v>
      </c>
      <c r="E22" s="26">
        <f t="shared" si="0"/>
        <v>398</v>
      </c>
      <c r="G22" s="7">
        <v>89.88</v>
      </c>
      <c r="H22" s="7">
        <v>0</v>
      </c>
      <c r="I22" s="7">
        <v>86.11</v>
      </c>
      <c r="J22" s="7">
        <v>86.28</v>
      </c>
      <c r="L22" s="7">
        <v>98.582800000000006</v>
      </c>
      <c r="M22" s="7">
        <v>86.542559999999995</v>
      </c>
      <c r="N22" s="7">
        <v>87.091309999999993</v>
      </c>
      <c r="P22" s="22">
        <v>1187.72</v>
      </c>
      <c r="Q22" s="22">
        <v>1083.05</v>
      </c>
      <c r="R22" s="22">
        <v>1087.82</v>
      </c>
    </row>
    <row r="23" spans="1:18" x14ac:dyDescent="0.25">
      <c r="A23" s="19" t="s">
        <v>23</v>
      </c>
      <c r="B23" s="26">
        <v>108</v>
      </c>
      <c r="C23" s="26">
        <v>5</v>
      </c>
      <c r="D23" s="26">
        <v>394</v>
      </c>
      <c r="E23" s="26">
        <f t="shared" si="0"/>
        <v>507</v>
      </c>
      <c r="G23" s="7">
        <v>154.22</v>
      </c>
      <c r="H23" s="7">
        <v>81.33</v>
      </c>
      <c r="I23" s="7">
        <v>107.15</v>
      </c>
      <c r="J23" s="7">
        <v>116.89</v>
      </c>
      <c r="L23" s="7">
        <v>416.04919000000001</v>
      </c>
      <c r="M23" s="7">
        <v>324.07981000000001</v>
      </c>
      <c r="N23" s="7">
        <v>343.74071999999995</v>
      </c>
      <c r="P23" s="22">
        <v>2878.05</v>
      </c>
      <c r="Q23" s="22">
        <v>3115.69</v>
      </c>
      <c r="R23" s="22">
        <v>3064.89</v>
      </c>
    </row>
    <row r="24" spans="1:18" x14ac:dyDescent="0.25">
      <c r="A24" s="19" t="s">
        <v>24</v>
      </c>
      <c r="B24" s="26">
        <v>9</v>
      </c>
      <c r="C24" s="26">
        <v>1</v>
      </c>
      <c r="D24" s="26">
        <v>130</v>
      </c>
      <c r="E24" s="26">
        <f t="shared" si="0"/>
        <v>140</v>
      </c>
      <c r="G24" s="7">
        <v>60.25</v>
      </c>
      <c r="H24" s="7">
        <v>88</v>
      </c>
      <c r="I24" s="7">
        <v>128.38999999999999</v>
      </c>
      <c r="J24" s="7">
        <v>125.2</v>
      </c>
      <c r="L24" s="7">
        <v>44.069859999999998</v>
      </c>
      <c r="M24" s="7">
        <v>103.07802000000001</v>
      </c>
      <c r="N24" s="7">
        <v>100.30116000000001</v>
      </c>
      <c r="P24" s="22">
        <v>739.84</v>
      </c>
      <c r="Q24" s="22">
        <v>928.63</v>
      </c>
      <c r="R24" s="22">
        <v>919.74</v>
      </c>
    </row>
    <row r="25" spans="1:18" x14ac:dyDescent="0.25">
      <c r="A25" s="19" t="s">
        <v>25</v>
      </c>
      <c r="B25" s="26">
        <v>618</v>
      </c>
      <c r="C25" s="26">
        <v>1</v>
      </c>
      <c r="D25" s="26">
        <v>1884</v>
      </c>
      <c r="E25" s="26">
        <f t="shared" si="0"/>
        <v>2503</v>
      </c>
      <c r="G25" s="7">
        <v>100.67</v>
      </c>
      <c r="H25" s="7">
        <v>57</v>
      </c>
      <c r="I25" s="7">
        <v>99.63</v>
      </c>
      <c r="J25" s="7">
        <v>99.88</v>
      </c>
      <c r="L25" s="7">
        <v>338.41176000000002</v>
      </c>
      <c r="M25" s="7">
        <v>282.70916999999997</v>
      </c>
      <c r="N25" s="7">
        <v>297.30934999999999</v>
      </c>
      <c r="P25" s="22">
        <v>3522.59</v>
      </c>
      <c r="Q25" s="22">
        <v>2981.68</v>
      </c>
      <c r="R25" s="22">
        <v>3123.46</v>
      </c>
    </row>
    <row r="26" spans="1:18" x14ac:dyDescent="0.25">
      <c r="A26" s="19" t="s">
        <v>26</v>
      </c>
      <c r="B26" s="26">
        <v>15</v>
      </c>
      <c r="C26" s="26">
        <v>0</v>
      </c>
      <c r="D26" s="26">
        <v>158</v>
      </c>
      <c r="E26" s="26">
        <f t="shared" si="0"/>
        <v>173</v>
      </c>
      <c r="G26" s="7">
        <v>120</v>
      </c>
      <c r="H26" s="7">
        <v>0</v>
      </c>
      <c r="I26" s="7">
        <v>132.88</v>
      </c>
      <c r="J26" s="7">
        <v>131.44</v>
      </c>
      <c r="L26" s="7">
        <v>96.947850000000003</v>
      </c>
      <c r="M26" s="7">
        <v>69.179770000000005</v>
      </c>
      <c r="N26" s="7">
        <v>72.419380000000004</v>
      </c>
      <c r="P26" s="22">
        <v>933.45</v>
      </c>
      <c r="Q26" s="22">
        <v>585.25</v>
      </c>
      <c r="R26" s="22">
        <v>625.88</v>
      </c>
    </row>
    <row r="27" spans="1:18" x14ac:dyDescent="0.25">
      <c r="A27" s="19" t="s">
        <v>27</v>
      </c>
      <c r="B27" s="26">
        <v>151</v>
      </c>
      <c r="C27" s="26">
        <v>11</v>
      </c>
      <c r="D27" s="26">
        <v>345</v>
      </c>
      <c r="E27" s="26">
        <f t="shared" si="0"/>
        <v>507</v>
      </c>
      <c r="G27" s="7">
        <v>103.69</v>
      </c>
      <c r="H27" s="7">
        <v>75</v>
      </c>
      <c r="I27" s="7">
        <v>97.42</v>
      </c>
      <c r="J27" s="7">
        <v>98.93</v>
      </c>
      <c r="L27" s="7">
        <v>148.52967999999998</v>
      </c>
      <c r="M27" s="7">
        <v>133.34304</v>
      </c>
      <c r="N27" s="7">
        <v>138.38038</v>
      </c>
      <c r="P27" s="22">
        <v>1551.88</v>
      </c>
      <c r="Q27" s="22">
        <v>1375.12</v>
      </c>
      <c r="R27" s="22">
        <v>1433.75</v>
      </c>
    </row>
    <row r="28" spans="1:18" x14ac:dyDescent="0.25">
      <c r="A28" s="19" t="s">
        <v>28</v>
      </c>
      <c r="B28" s="26">
        <v>701</v>
      </c>
      <c r="C28" s="26">
        <v>43</v>
      </c>
      <c r="D28" s="26">
        <v>1429</v>
      </c>
      <c r="E28" s="26">
        <f t="shared" si="0"/>
        <v>2173</v>
      </c>
      <c r="G28" s="7">
        <v>101.42</v>
      </c>
      <c r="H28" s="7">
        <v>90.59</v>
      </c>
      <c r="I28" s="7">
        <v>94.98</v>
      </c>
      <c r="J28" s="7">
        <v>96.98</v>
      </c>
      <c r="L28" s="7">
        <v>229.66271</v>
      </c>
      <c r="M28" s="7">
        <v>178.32432</v>
      </c>
      <c r="N28" s="7">
        <v>196.74624</v>
      </c>
      <c r="P28" s="22">
        <v>2350.16</v>
      </c>
      <c r="Q28" s="22">
        <v>1894.77</v>
      </c>
      <c r="R28" s="22">
        <v>2058.1799999999998</v>
      </c>
    </row>
    <row r="29" spans="1:18" x14ac:dyDescent="0.25">
      <c r="A29" s="19" t="s">
        <v>72</v>
      </c>
      <c r="B29" s="26">
        <v>4</v>
      </c>
      <c r="C29" s="26">
        <v>0</v>
      </c>
      <c r="D29" s="26">
        <v>41</v>
      </c>
      <c r="E29" s="26">
        <f t="shared" si="0"/>
        <v>45</v>
      </c>
      <c r="G29" s="7">
        <v>145</v>
      </c>
      <c r="H29" s="7">
        <v>0</v>
      </c>
      <c r="I29" s="7">
        <v>89.9</v>
      </c>
      <c r="J29" s="7">
        <v>95.02</v>
      </c>
      <c r="L29" s="7">
        <v>308.85750000000002</v>
      </c>
      <c r="M29" s="7">
        <v>79.43025999999999</v>
      </c>
      <c r="N29" s="7">
        <v>101.28047000000001</v>
      </c>
      <c r="P29" s="22">
        <v>1706.65</v>
      </c>
      <c r="Q29" s="22">
        <v>823.3</v>
      </c>
      <c r="R29" s="22">
        <v>907.43</v>
      </c>
    </row>
    <row r="30" spans="1:18" x14ac:dyDescent="0.25">
      <c r="A30" s="19" t="s">
        <v>29</v>
      </c>
      <c r="B30" s="26">
        <v>1004</v>
      </c>
      <c r="C30" s="26">
        <v>36</v>
      </c>
      <c r="D30" s="26">
        <v>3964</v>
      </c>
      <c r="E30" s="26">
        <f t="shared" si="0"/>
        <v>5004</v>
      </c>
      <c r="G30" s="7">
        <v>97.05</v>
      </c>
      <c r="H30" s="7">
        <v>70.400000000000006</v>
      </c>
      <c r="I30" s="7">
        <v>102.93</v>
      </c>
      <c r="J30" s="7">
        <v>101.49</v>
      </c>
      <c r="L30" s="7">
        <v>262.52957000000004</v>
      </c>
      <c r="M30" s="7">
        <v>237.61629000000002</v>
      </c>
      <c r="N30" s="7">
        <v>242.71116000000001</v>
      </c>
      <c r="P30" s="22">
        <v>2784.18</v>
      </c>
      <c r="Q30" s="22">
        <v>2392.64</v>
      </c>
      <c r="R30" s="22">
        <v>2472.7199999999998</v>
      </c>
    </row>
    <row r="31" spans="1:18" x14ac:dyDescent="0.25">
      <c r="A31" s="19" t="s">
        <v>68</v>
      </c>
      <c r="B31" s="26">
        <v>29</v>
      </c>
      <c r="C31" s="26">
        <v>0</v>
      </c>
      <c r="D31" s="26">
        <v>104</v>
      </c>
      <c r="E31" s="26">
        <f t="shared" si="0"/>
        <v>133</v>
      </c>
      <c r="G31" s="7">
        <v>141.4</v>
      </c>
      <c r="H31" s="7">
        <v>0</v>
      </c>
      <c r="I31" s="7">
        <v>140.33000000000001</v>
      </c>
      <c r="J31" s="7">
        <v>140.55000000000001</v>
      </c>
      <c r="L31" s="7">
        <v>156.03128000000001</v>
      </c>
      <c r="M31" s="7">
        <v>171.20702</v>
      </c>
      <c r="N31" s="7">
        <v>168.07153</v>
      </c>
      <c r="P31" s="22">
        <v>1297.8399999999999</v>
      </c>
      <c r="Q31" s="22">
        <v>1391.58</v>
      </c>
      <c r="R31" s="22">
        <v>1372.21</v>
      </c>
    </row>
    <row r="32" spans="1:18" x14ac:dyDescent="0.25">
      <c r="A32" s="19" t="s">
        <v>30</v>
      </c>
      <c r="B32" s="26">
        <v>80</v>
      </c>
      <c r="C32" s="26">
        <v>0</v>
      </c>
      <c r="D32" s="26">
        <v>1444</v>
      </c>
      <c r="E32" s="26">
        <f t="shared" si="0"/>
        <v>1524</v>
      </c>
      <c r="G32" s="7">
        <v>81.45</v>
      </c>
      <c r="H32" s="7">
        <v>0</v>
      </c>
      <c r="I32" s="7">
        <v>80.959999999999994</v>
      </c>
      <c r="J32" s="7">
        <v>80.98</v>
      </c>
      <c r="L32" s="7">
        <v>63.551760000000002</v>
      </c>
      <c r="M32" s="7">
        <v>69.208830000000006</v>
      </c>
      <c r="N32" s="7">
        <v>68.965580000000003</v>
      </c>
      <c r="P32" s="22">
        <v>860.38</v>
      </c>
      <c r="Q32" s="22">
        <v>922.62</v>
      </c>
      <c r="R32" s="22">
        <v>919.94</v>
      </c>
    </row>
    <row r="33" spans="1:18" x14ac:dyDescent="0.25">
      <c r="A33" s="19" t="s">
        <v>31</v>
      </c>
      <c r="B33" s="26">
        <v>32</v>
      </c>
      <c r="C33" s="26">
        <v>0</v>
      </c>
      <c r="D33" s="26">
        <v>284</v>
      </c>
      <c r="E33" s="26">
        <f t="shared" si="0"/>
        <v>316</v>
      </c>
      <c r="G33" s="7">
        <v>104.27</v>
      </c>
      <c r="H33" s="7">
        <v>0</v>
      </c>
      <c r="I33" s="7">
        <v>103.81</v>
      </c>
      <c r="J33" s="7">
        <v>103.85</v>
      </c>
      <c r="L33" s="7">
        <v>100.43084</v>
      </c>
      <c r="M33" s="7">
        <v>95.630750000000006</v>
      </c>
      <c r="N33" s="7">
        <v>96.100089999999994</v>
      </c>
      <c r="P33" s="22">
        <v>1050.92</v>
      </c>
      <c r="Q33" s="22">
        <v>1002.63</v>
      </c>
      <c r="R33" s="22">
        <v>1007.35</v>
      </c>
    </row>
    <row r="34" spans="1:18" x14ac:dyDescent="0.25">
      <c r="A34" s="19" t="s">
        <v>32</v>
      </c>
      <c r="B34" s="26">
        <v>348</v>
      </c>
      <c r="C34" s="26">
        <v>7</v>
      </c>
      <c r="D34" s="26">
        <v>1160</v>
      </c>
      <c r="E34" s="26">
        <f t="shared" si="0"/>
        <v>1515</v>
      </c>
      <c r="G34" s="7">
        <v>100.17</v>
      </c>
      <c r="H34" s="7">
        <v>76</v>
      </c>
      <c r="I34" s="7">
        <v>102.62</v>
      </c>
      <c r="J34" s="7">
        <v>101.91</v>
      </c>
      <c r="L34" s="7">
        <v>200.33395999999999</v>
      </c>
      <c r="M34" s="7">
        <v>146.56154000000001</v>
      </c>
      <c r="N34" s="7">
        <v>159.71735000000001</v>
      </c>
      <c r="P34" s="22">
        <v>2106.71</v>
      </c>
      <c r="Q34" s="22">
        <v>1548.63</v>
      </c>
      <c r="R34" s="22">
        <v>1685.17</v>
      </c>
    </row>
    <row r="35" spans="1:18" x14ac:dyDescent="0.25">
      <c r="A35" s="19" t="s">
        <v>33</v>
      </c>
      <c r="B35" s="26">
        <v>0</v>
      </c>
      <c r="C35" s="26">
        <v>0</v>
      </c>
      <c r="D35" s="26">
        <v>172</v>
      </c>
      <c r="E35" s="26">
        <f t="shared" si="0"/>
        <v>172</v>
      </c>
      <c r="G35" s="7">
        <v>0</v>
      </c>
      <c r="H35" s="7">
        <v>0</v>
      </c>
      <c r="I35" s="7">
        <v>97.77</v>
      </c>
      <c r="J35" s="7">
        <v>97.77</v>
      </c>
      <c r="L35" s="7">
        <v>0</v>
      </c>
      <c r="M35" s="7">
        <v>78.779529999999994</v>
      </c>
      <c r="N35" s="7">
        <v>78.779529999999994</v>
      </c>
      <c r="P35" s="22">
        <v>0</v>
      </c>
      <c r="Q35" s="22">
        <v>875.12</v>
      </c>
      <c r="R35" s="22">
        <v>875.12</v>
      </c>
    </row>
    <row r="36" spans="1:18" x14ac:dyDescent="0.25">
      <c r="A36" s="19" t="s">
        <v>34</v>
      </c>
      <c r="B36" s="26">
        <v>0</v>
      </c>
      <c r="C36" s="26">
        <v>0</v>
      </c>
      <c r="D36" s="26">
        <v>173</v>
      </c>
      <c r="E36" s="26">
        <f t="shared" si="0"/>
        <v>173</v>
      </c>
      <c r="G36" s="7">
        <v>0</v>
      </c>
      <c r="H36" s="7">
        <v>0</v>
      </c>
      <c r="I36" s="7">
        <v>90.67</v>
      </c>
      <c r="J36" s="7">
        <v>90.67</v>
      </c>
      <c r="L36" s="7">
        <v>0</v>
      </c>
      <c r="M36" s="7">
        <v>132.45508999999998</v>
      </c>
      <c r="N36" s="7">
        <v>132.45508999999998</v>
      </c>
      <c r="P36" s="22">
        <v>0</v>
      </c>
      <c r="Q36" s="22">
        <v>1669.5</v>
      </c>
      <c r="R36" s="22">
        <v>1669.5</v>
      </c>
    </row>
    <row r="37" spans="1:18" x14ac:dyDescent="0.25">
      <c r="A37" s="19" t="s">
        <v>35</v>
      </c>
      <c r="B37" s="26">
        <v>48</v>
      </c>
      <c r="C37" s="26">
        <v>5</v>
      </c>
      <c r="D37" s="26">
        <v>210</v>
      </c>
      <c r="E37" s="26">
        <f t="shared" si="0"/>
        <v>263</v>
      </c>
      <c r="G37" s="7">
        <v>141.82</v>
      </c>
      <c r="H37" s="7">
        <v>80.8</v>
      </c>
      <c r="I37" s="7">
        <v>113.36</v>
      </c>
      <c r="J37" s="7">
        <v>117.83</v>
      </c>
      <c r="L37" s="7">
        <v>221.96321</v>
      </c>
      <c r="M37" s="7">
        <v>192.06933999999998</v>
      </c>
      <c r="N37" s="7">
        <v>197.96768</v>
      </c>
      <c r="P37" s="22">
        <v>1685.18</v>
      </c>
      <c r="Q37" s="22">
        <v>1913.12</v>
      </c>
      <c r="R37" s="22">
        <v>1868.15</v>
      </c>
    </row>
    <row r="38" spans="1:18" x14ac:dyDescent="0.25">
      <c r="A38" s="19" t="s">
        <v>36</v>
      </c>
      <c r="B38" s="26">
        <v>59</v>
      </c>
      <c r="C38" s="26">
        <v>4</v>
      </c>
      <c r="D38" s="26">
        <v>209</v>
      </c>
      <c r="E38" s="26">
        <f t="shared" si="0"/>
        <v>272</v>
      </c>
      <c r="G38" s="7">
        <v>105.44</v>
      </c>
      <c r="H38" s="7">
        <v>50</v>
      </c>
      <c r="I38" s="7">
        <v>113.22</v>
      </c>
      <c r="J38" s="7">
        <v>110.34</v>
      </c>
      <c r="L38" s="7">
        <v>107.14599000000001</v>
      </c>
      <c r="M38" s="7">
        <v>92.922269999999997</v>
      </c>
      <c r="N38" s="7">
        <v>96.442999999999998</v>
      </c>
      <c r="P38" s="22">
        <v>1074.77</v>
      </c>
      <c r="Q38" s="22">
        <v>848.21</v>
      </c>
      <c r="R38" s="22">
        <v>904.29</v>
      </c>
    </row>
    <row r="39" spans="1:18" x14ac:dyDescent="0.25">
      <c r="A39" s="19" t="s">
        <v>37</v>
      </c>
      <c r="B39" s="26">
        <v>4</v>
      </c>
      <c r="C39" s="26">
        <v>0</v>
      </c>
      <c r="D39" s="26">
        <v>62</v>
      </c>
      <c r="E39" s="26">
        <f t="shared" si="0"/>
        <v>66</v>
      </c>
      <c r="G39" s="7">
        <v>0</v>
      </c>
      <c r="H39" s="7">
        <v>0</v>
      </c>
      <c r="I39" s="7">
        <v>114.45</v>
      </c>
      <c r="J39" s="7">
        <v>114.45</v>
      </c>
      <c r="L39" s="7">
        <v>0</v>
      </c>
      <c r="M39" s="7">
        <v>99.310759999999988</v>
      </c>
      <c r="N39" s="7">
        <v>99.310759999999988</v>
      </c>
      <c r="P39" s="22">
        <v>0</v>
      </c>
      <c r="Q39" s="22">
        <v>984.51</v>
      </c>
      <c r="R39" s="22">
        <v>984.51</v>
      </c>
    </row>
    <row r="40" spans="1:18" x14ac:dyDescent="0.25">
      <c r="A40" s="19" t="s">
        <v>38</v>
      </c>
      <c r="B40" s="26">
        <v>55</v>
      </c>
      <c r="C40" s="26">
        <v>11</v>
      </c>
      <c r="D40" s="26">
        <v>167</v>
      </c>
      <c r="E40" s="26">
        <f t="shared" si="0"/>
        <v>233</v>
      </c>
      <c r="G40" s="7">
        <v>101.25</v>
      </c>
      <c r="H40" s="7">
        <v>59.8</v>
      </c>
      <c r="I40" s="7">
        <v>103.74</v>
      </c>
      <c r="J40" s="7">
        <v>100.87</v>
      </c>
      <c r="L40" s="7">
        <v>54.98659</v>
      </c>
      <c r="M40" s="7">
        <v>75.517769999999999</v>
      </c>
      <c r="N40" s="7">
        <v>69.667490000000001</v>
      </c>
      <c r="P40" s="22">
        <v>568.94000000000005</v>
      </c>
      <c r="Q40" s="22">
        <v>751.08</v>
      </c>
      <c r="R40" s="22">
        <v>699.18</v>
      </c>
    </row>
    <row r="41" spans="1:18" x14ac:dyDescent="0.25">
      <c r="A41" s="19" t="s">
        <v>39</v>
      </c>
      <c r="B41" s="26">
        <v>75</v>
      </c>
      <c r="C41" s="26">
        <v>0</v>
      </c>
      <c r="D41" s="26">
        <v>278</v>
      </c>
      <c r="E41" s="26">
        <f t="shared" si="0"/>
        <v>353</v>
      </c>
      <c r="G41" s="7">
        <v>131.36000000000001</v>
      </c>
      <c r="H41" s="7">
        <v>0</v>
      </c>
      <c r="I41" s="7">
        <v>100.17</v>
      </c>
      <c r="J41" s="7">
        <v>106.16</v>
      </c>
      <c r="L41" s="7">
        <v>129.51521</v>
      </c>
      <c r="M41" s="7">
        <v>133.54339000000002</v>
      </c>
      <c r="N41" s="7">
        <v>132.77329999999998</v>
      </c>
      <c r="P41" s="22">
        <v>1368.75</v>
      </c>
      <c r="Q41" s="22">
        <v>1532.37</v>
      </c>
      <c r="R41" s="22">
        <v>1501.09</v>
      </c>
    </row>
    <row r="42" spans="1:18" x14ac:dyDescent="0.25">
      <c r="A42" s="19" t="s">
        <v>40</v>
      </c>
      <c r="B42" s="26">
        <v>35</v>
      </c>
      <c r="C42" s="26">
        <v>3</v>
      </c>
      <c r="D42" s="26">
        <v>108</v>
      </c>
      <c r="E42" s="26">
        <f t="shared" si="0"/>
        <v>146</v>
      </c>
      <c r="G42" s="7">
        <v>141.66</v>
      </c>
      <c r="H42" s="7">
        <v>63.5</v>
      </c>
      <c r="I42" s="7">
        <v>103.61</v>
      </c>
      <c r="J42" s="7">
        <v>112.15</v>
      </c>
      <c r="L42" s="7">
        <v>164.77804</v>
      </c>
      <c r="M42" s="7">
        <v>85.831399999999988</v>
      </c>
      <c r="N42" s="7">
        <v>107.58199999999999</v>
      </c>
      <c r="P42" s="22">
        <v>1217.21</v>
      </c>
      <c r="Q42" s="22">
        <v>868.78</v>
      </c>
      <c r="R42" s="22">
        <v>964.77</v>
      </c>
    </row>
    <row r="43" spans="1:18" x14ac:dyDescent="0.25">
      <c r="A43" s="19" t="s">
        <v>41</v>
      </c>
      <c r="B43" s="26">
        <v>612</v>
      </c>
      <c r="C43" s="26">
        <v>88</v>
      </c>
      <c r="D43" s="26">
        <v>1609</v>
      </c>
      <c r="E43" s="26">
        <f t="shared" si="0"/>
        <v>2309</v>
      </c>
      <c r="G43" s="7">
        <v>103.62</v>
      </c>
      <c r="H43" s="7">
        <v>92.9</v>
      </c>
      <c r="I43" s="7">
        <v>98.48</v>
      </c>
      <c r="J43" s="7">
        <v>99.76</v>
      </c>
      <c r="L43" s="7">
        <v>140.4025</v>
      </c>
      <c r="M43" s="7">
        <v>103.56804</v>
      </c>
      <c r="N43" s="7">
        <v>115.37577</v>
      </c>
      <c r="P43" s="22">
        <v>1311.23</v>
      </c>
      <c r="Q43" s="22">
        <v>1069.05</v>
      </c>
      <c r="R43" s="22">
        <v>1146.68</v>
      </c>
    </row>
    <row r="44" spans="1:18" x14ac:dyDescent="0.25">
      <c r="A44" s="19" t="s">
        <v>42</v>
      </c>
      <c r="B44" s="26">
        <v>195</v>
      </c>
      <c r="C44" s="26">
        <v>1</v>
      </c>
      <c r="D44" s="26">
        <v>2673</v>
      </c>
      <c r="E44" s="26">
        <f t="shared" si="0"/>
        <v>2869</v>
      </c>
      <c r="G44" s="7">
        <v>119.68</v>
      </c>
      <c r="H44" s="7">
        <v>63</v>
      </c>
      <c r="I44" s="7">
        <v>100.04</v>
      </c>
      <c r="J44" s="7">
        <v>101.13</v>
      </c>
      <c r="L44" s="7">
        <v>244.30032999999997</v>
      </c>
      <c r="M44" s="7">
        <v>170.22470000000001</v>
      </c>
      <c r="N44" s="7">
        <v>174.43708999999998</v>
      </c>
      <c r="P44" s="22">
        <v>2087.44</v>
      </c>
      <c r="Q44" s="22">
        <v>1888.4</v>
      </c>
      <c r="R44" s="22">
        <v>1899.72</v>
      </c>
    </row>
    <row r="45" spans="1:18" x14ac:dyDescent="0.25">
      <c r="A45" s="19" t="s">
        <v>43</v>
      </c>
      <c r="B45" s="26">
        <v>8</v>
      </c>
      <c r="C45" s="26">
        <v>0</v>
      </c>
      <c r="D45" s="26">
        <v>107</v>
      </c>
      <c r="E45" s="26">
        <f t="shared" si="0"/>
        <v>115</v>
      </c>
      <c r="G45" s="7">
        <v>103</v>
      </c>
      <c r="H45" s="7">
        <v>0</v>
      </c>
      <c r="I45" s="7">
        <v>114.43</v>
      </c>
      <c r="J45" s="7">
        <v>113.74</v>
      </c>
      <c r="L45" s="7">
        <v>84.983329999999995</v>
      </c>
      <c r="M45" s="7">
        <v>120.64041</v>
      </c>
      <c r="N45" s="7">
        <v>118.33996</v>
      </c>
      <c r="P45" s="22">
        <v>772.03</v>
      </c>
      <c r="Q45" s="22">
        <v>1230.94</v>
      </c>
      <c r="R45" s="22">
        <v>1201.33</v>
      </c>
    </row>
    <row r="46" spans="1:18" x14ac:dyDescent="0.25">
      <c r="A46" s="19" t="s">
        <v>44</v>
      </c>
      <c r="B46" s="26">
        <v>906</v>
      </c>
      <c r="C46" s="26">
        <v>24</v>
      </c>
      <c r="D46" s="26">
        <v>4026</v>
      </c>
      <c r="E46" s="26">
        <f t="shared" si="0"/>
        <v>4956</v>
      </c>
      <c r="G46" s="7">
        <v>100.26</v>
      </c>
      <c r="H46" s="7">
        <v>71.87</v>
      </c>
      <c r="I46" s="7">
        <v>82.78</v>
      </c>
      <c r="J46" s="7">
        <v>85.8</v>
      </c>
      <c r="L46" s="7">
        <v>197.85549</v>
      </c>
      <c r="M46" s="7">
        <v>138.75791000000001</v>
      </c>
      <c r="N46" s="7">
        <v>149.44633999999999</v>
      </c>
      <c r="P46" s="22">
        <v>2096.17</v>
      </c>
      <c r="Q46" s="22">
        <v>1805.9</v>
      </c>
      <c r="R46" s="22">
        <v>1858.4</v>
      </c>
    </row>
    <row r="47" spans="1:18" x14ac:dyDescent="0.25">
      <c r="A47" s="19" t="s">
        <v>45</v>
      </c>
      <c r="B47" s="26">
        <v>10</v>
      </c>
      <c r="C47" s="26">
        <v>0</v>
      </c>
      <c r="D47" s="26">
        <v>47</v>
      </c>
      <c r="E47" s="26">
        <f t="shared" si="0"/>
        <v>57</v>
      </c>
      <c r="G47" s="7">
        <v>84.71</v>
      </c>
      <c r="H47" s="7">
        <v>0</v>
      </c>
      <c r="I47" s="7">
        <v>99.3</v>
      </c>
      <c r="J47" s="7">
        <v>96.75</v>
      </c>
      <c r="L47" s="7">
        <v>57.4375</v>
      </c>
      <c r="M47" s="7">
        <v>80.397109999999998</v>
      </c>
      <c r="N47" s="7">
        <v>75.805189999999996</v>
      </c>
      <c r="P47" s="22">
        <v>866.51</v>
      </c>
      <c r="Q47" s="22">
        <v>1001.85</v>
      </c>
      <c r="R47" s="22">
        <v>974.78</v>
      </c>
    </row>
    <row r="48" spans="1:18" x14ac:dyDescent="0.25">
      <c r="A48" s="19" t="s">
        <v>46</v>
      </c>
      <c r="B48" s="26">
        <v>127</v>
      </c>
      <c r="C48" s="26">
        <v>3</v>
      </c>
      <c r="D48" s="26">
        <v>343</v>
      </c>
      <c r="E48" s="26">
        <f t="shared" si="0"/>
        <v>473</v>
      </c>
      <c r="G48" s="7">
        <v>96.92</v>
      </c>
      <c r="H48" s="7">
        <v>85.5</v>
      </c>
      <c r="I48" s="7">
        <v>105.98</v>
      </c>
      <c r="J48" s="7">
        <v>103.3</v>
      </c>
      <c r="L48" s="7">
        <v>97.350529999999992</v>
      </c>
      <c r="M48" s="7">
        <v>79.614100000000008</v>
      </c>
      <c r="N48" s="7">
        <v>84.869339999999994</v>
      </c>
      <c r="P48" s="22">
        <v>1072.94</v>
      </c>
      <c r="Q48" s="22">
        <v>851.71</v>
      </c>
      <c r="R48" s="22">
        <v>917.26</v>
      </c>
    </row>
    <row r="49" spans="1:18" x14ac:dyDescent="0.25">
      <c r="A49" s="19" t="s">
        <v>47</v>
      </c>
      <c r="B49" s="26">
        <v>56</v>
      </c>
      <c r="C49" s="26">
        <v>0</v>
      </c>
      <c r="D49" s="26">
        <v>391</v>
      </c>
      <c r="E49" s="26">
        <f t="shared" si="0"/>
        <v>447</v>
      </c>
      <c r="G49" s="7">
        <v>165.89</v>
      </c>
      <c r="H49" s="7">
        <v>0</v>
      </c>
      <c r="I49" s="7">
        <v>95.29</v>
      </c>
      <c r="J49" s="7">
        <v>104.74</v>
      </c>
      <c r="L49" s="7">
        <v>755.77916000000005</v>
      </c>
      <c r="M49" s="7">
        <v>293.63535999999999</v>
      </c>
      <c r="N49" s="7">
        <v>355.34206</v>
      </c>
      <c r="P49" s="22">
        <v>3481.49</v>
      </c>
      <c r="Q49" s="22">
        <v>3199.38</v>
      </c>
      <c r="R49" s="22">
        <v>3237.05</v>
      </c>
    </row>
    <row r="50" spans="1:18" x14ac:dyDescent="0.25">
      <c r="A50" s="19" t="s">
        <v>48</v>
      </c>
      <c r="B50" s="26">
        <v>1520</v>
      </c>
      <c r="C50" s="26">
        <v>74</v>
      </c>
      <c r="D50" s="26">
        <v>7571</v>
      </c>
      <c r="E50" s="26">
        <f t="shared" si="0"/>
        <v>9165</v>
      </c>
      <c r="G50" s="7">
        <v>97.85</v>
      </c>
      <c r="H50" s="7">
        <v>72.08</v>
      </c>
      <c r="I50" s="7">
        <v>93.66</v>
      </c>
      <c r="J50" s="7">
        <v>94.23</v>
      </c>
      <c r="L50" s="7">
        <v>248.23204999999999</v>
      </c>
      <c r="M50" s="7">
        <v>209.10057</v>
      </c>
      <c r="N50" s="7">
        <v>216.06231</v>
      </c>
      <c r="P50" s="22">
        <v>2627.05</v>
      </c>
      <c r="Q50" s="22">
        <v>2285.15</v>
      </c>
      <c r="R50" s="22">
        <v>2345.98</v>
      </c>
    </row>
    <row r="51" spans="1:18" x14ac:dyDescent="0.25">
      <c r="A51" s="19" t="s">
        <v>49</v>
      </c>
      <c r="B51" s="26">
        <v>864</v>
      </c>
      <c r="C51" s="26">
        <v>15</v>
      </c>
      <c r="D51" s="26">
        <v>3213</v>
      </c>
      <c r="E51" s="26">
        <f t="shared" si="0"/>
        <v>4092</v>
      </c>
      <c r="G51" s="7">
        <v>118.78</v>
      </c>
      <c r="H51" s="7">
        <v>79</v>
      </c>
      <c r="I51" s="7">
        <v>113.41</v>
      </c>
      <c r="J51" s="7">
        <v>114.44</v>
      </c>
      <c r="L51" s="7">
        <v>238.21144000000001</v>
      </c>
      <c r="M51" s="7">
        <v>209.56858</v>
      </c>
      <c r="N51" s="7">
        <v>215.90322</v>
      </c>
      <c r="P51" s="22">
        <v>2209.91</v>
      </c>
      <c r="Q51" s="22">
        <v>2018.61</v>
      </c>
      <c r="R51" s="22">
        <v>2060.91</v>
      </c>
    </row>
    <row r="52" spans="1:18" x14ac:dyDescent="0.25">
      <c r="A52" s="19"/>
      <c r="B52" s="26"/>
      <c r="C52" s="26"/>
      <c r="D52" s="26"/>
      <c r="E52" s="26"/>
      <c r="G52" s="7"/>
      <c r="H52" s="7"/>
      <c r="I52" s="7"/>
      <c r="J52" s="7"/>
      <c r="L52" s="7"/>
      <c r="M52" s="7"/>
      <c r="N52" s="7"/>
      <c r="P52" s="22"/>
      <c r="Q52" s="22"/>
      <c r="R52" s="22"/>
    </row>
    <row r="53" spans="1:18" x14ac:dyDescent="0.25">
      <c r="A53" s="20" t="s">
        <v>50</v>
      </c>
      <c r="B53" s="26"/>
      <c r="C53" s="26"/>
      <c r="D53" s="26"/>
      <c r="E53" s="26"/>
      <c r="G53" s="7"/>
      <c r="H53" s="7"/>
      <c r="I53" s="7"/>
      <c r="J53" s="7"/>
      <c r="L53" s="7"/>
      <c r="M53" s="7"/>
      <c r="N53" s="7"/>
      <c r="P53" s="22"/>
      <c r="Q53" s="22"/>
      <c r="R53" s="22"/>
    </row>
    <row r="54" spans="1:18" x14ac:dyDescent="0.25">
      <c r="A54" s="19" t="s">
        <v>51</v>
      </c>
      <c r="B54" s="26">
        <v>235</v>
      </c>
      <c r="C54" s="26">
        <v>6</v>
      </c>
      <c r="D54" s="26">
        <v>1353</v>
      </c>
      <c r="E54" s="26">
        <f t="shared" si="0"/>
        <v>1594</v>
      </c>
      <c r="G54" s="7">
        <v>142.47999999999999</v>
      </c>
      <c r="H54" s="7">
        <v>81.33</v>
      </c>
      <c r="I54" s="7">
        <v>98.86</v>
      </c>
      <c r="J54" s="7">
        <v>105.3</v>
      </c>
      <c r="L54" s="7">
        <v>423.32259000000005</v>
      </c>
      <c r="M54" s="7">
        <v>224.69863000000001</v>
      </c>
      <c r="N54" s="7">
        <v>254.37807000000001</v>
      </c>
      <c r="P54" s="22">
        <v>2624.59</v>
      </c>
      <c r="Q54" s="22">
        <v>2366.59</v>
      </c>
      <c r="R54" s="22">
        <v>2405.14</v>
      </c>
    </row>
    <row r="55" spans="1:18" x14ac:dyDescent="0.25">
      <c r="A55" s="19" t="s">
        <v>52</v>
      </c>
      <c r="B55" s="26">
        <v>1136</v>
      </c>
      <c r="C55" s="26">
        <v>85</v>
      </c>
      <c r="D55" s="26">
        <v>7547</v>
      </c>
      <c r="E55" s="26">
        <f t="shared" si="0"/>
        <v>8768</v>
      </c>
      <c r="G55" s="7">
        <v>101.94</v>
      </c>
      <c r="H55" s="7">
        <v>68.180000000000007</v>
      </c>
      <c r="I55" s="7">
        <v>87.62</v>
      </c>
      <c r="J55" s="7">
        <v>89.24</v>
      </c>
      <c r="L55" s="7">
        <v>193.11813000000001</v>
      </c>
      <c r="M55" s="7">
        <v>138.34832999999998</v>
      </c>
      <c r="N55" s="7">
        <v>145.61392999999998</v>
      </c>
      <c r="P55" s="22">
        <v>1995.52</v>
      </c>
      <c r="Q55" s="22">
        <v>1704.91</v>
      </c>
      <c r="R55" s="22">
        <v>1743.46</v>
      </c>
    </row>
    <row r="56" spans="1:18" x14ac:dyDescent="0.25">
      <c r="A56" s="19" t="s">
        <v>53</v>
      </c>
      <c r="B56" s="26">
        <v>966</v>
      </c>
      <c r="C56" s="26">
        <v>31</v>
      </c>
      <c r="D56" s="26">
        <v>3168</v>
      </c>
      <c r="E56" s="26">
        <f t="shared" si="0"/>
        <v>4165</v>
      </c>
      <c r="G56" s="7">
        <v>100.54</v>
      </c>
      <c r="H56" s="7">
        <v>81.34</v>
      </c>
      <c r="I56" s="7">
        <v>98.76</v>
      </c>
      <c r="J56" s="7">
        <v>99.04</v>
      </c>
      <c r="L56" s="7">
        <v>144.94505999999998</v>
      </c>
      <c r="M56" s="7">
        <v>123.85424999999999</v>
      </c>
      <c r="N56" s="7">
        <v>128.92137</v>
      </c>
      <c r="P56" s="22">
        <v>1541.44</v>
      </c>
      <c r="Q56" s="22">
        <v>1342.1</v>
      </c>
      <c r="R56" s="22">
        <v>1389.99</v>
      </c>
    </row>
    <row r="57" spans="1:18" x14ac:dyDescent="0.25">
      <c r="A57" s="19" t="s">
        <v>54</v>
      </c>
      <c r="B57" s="26">
        <v>2103</v>
      </c>
      <c r="C57" s="26">
        <v>78</v>
      </c>
      <c r="D57" s="26">
        <v>10614</v>
      </c>
      <c r="E57" s="26">
        <f t="shared" si="0"/>
        <v>12795</v>
      </c>
      <c r="G57" s="7">
        <v>108.52</v>
      </c>
      <c r="H57" s="7">
        <v>92.6</v>
      </c>
      <c r="I57" s="7">
        <v>99.13</v>
      </c>
      <c r="J57" s="7">
        <v>100.58</v>
      </c>
      <c r="L57" s="7">
        <v>231.89382999999998</v>
      </c>
      <c r="M57" s="7">
        <v>205.64574999999999</v>
      </c>
      <c r="N57" s="7">
        <v>209.96579</v>
      </c>
      <c r="P57" s="22">
        <v>2240.85</v>
      </c>
      <c r="Q57" s="22">
        <v>2210.36</v>
      </c>
      <c r="R57" s="22">
        <v>2215.38</v>
      </c>
    </row>
    <row r="58" spans="1:18" x14ac:dyDescent="0.25">
      <c r="A58" s="19" t="s">
        <v>55</v>
      </c>
      <c r="B58" s="26">
        <v>7346</v>
      </c>
      <c r="C58" s="26">
        <v>498</v>
      </c>
      <c r="D58" s="26">
        <v>40368</v>
      </c>
      <c r="E58" s="26">
        <f t="shared" si="0"/>
        <v>48212</v>
      </c>
      <c r="G58" s="7">
        <v>94.55</v>
      </c>
      <c r="H58" s="7">
        <v>74.03</v>
      </c>
      <c r="I58" s="7">
        <v>86.73</v>
      </c>
      <c r="J58" s="7">
        <v>87.77</v>
      </c>
      <c r="L58" s="7">
        <v>303.31160999999997</v>
      </c>
      <c r="M58" s="7">
        <v>255.46288000000001</v>
      </c>
      <c r="N58" s="7">
        <v>263.40265000000005</v>
      </c>
      <c r="P58" s="22">
        <v>3328.91</v>
      </c>
      <c r="Q58" s="22">
        <v>2968.69</v>
      </c>
      <c r="R58" s="22">
        <v>3028.47</v>
      </c>
    </row>
    <row r="59" spans="1:18" x14ac:dyDescent="0.25">
      <c r="A59" s="19" t="s">
        <v>56</v>
      </c>
      <c r="B59" s="26">
        <v>1519</v>
      </c>
      <c r="C59" s="26">
        <v>24</v>
      </c>
      <c r="D59" s="26">
        <v>5922</v>
      </c>
      <c r="E59" s="26">
        <f t="shared" si="0"/>
        <v>7465</v>
      </c>
      <c r="G59" s="7">
        <v>102.71</v>
      </c>
      <c r="H59" s="7">
        <v>70</v>
      </c>
      <c r="I59" s="7">
        <v>103.03</v>
      </c>
      <c r="J59" s="7">
        <v>102.86</v>
      </c>
      <c r="L59" s="7">
        <v>233.87422000000001</v>
      </c>
      <c r="M59" s="7">
        <v>190.88499999999999</v>
      </c>
      <c r="N59" s="7">
        <v>199.90476999999998</v>
      </c>
      <c r="P59" s="22">
        <v>2494.81</v>
      </c>
      <c r="Q59" s="22">
        <v>2023.08</v>
      </c>
      <c r="R59" s="22">
        <v>2122.06</v>
      </c>
    </row>
    <row r="60" spans="1:18" x14ac:dyDescent="0.25">
      <c r="A60" s="19" t="s">
        <v>57</v>
      </c>
      <c r="B60" s="26">
        <v>880</v>
      </c>
      <c r="C60" s="26">
        <v>98</v>
      </c>
      <c r="D60" s="26">
        <v>2711</v>
      </c>
      <c r="E60" s="26">
        <f t="shared" si="0"/>
        <v>3689</v>
      </c>
      <c r="G60" s="7">
        <v>104.72</v>
      </c>
      <c r="H60" s="7">
        <v>88.74</v>
      </c>
      <c r="I60" s="7">
        <v>103.15</v>
      </c>
      <c r="J60" s="7">
        <v>103.24</v>
      </c>
      <c r="L60" s="7">
        <v>131.46793</v>
      </c>
      <c r="M60" s="7">
        <v>96.288119999999992</v>
      </c>
      <c r="N60" s="7">
        <v>106.14913</v>
      </c>
      <c r="P60" s="22">
        <v>1245.31</v>
      </c>
      <c r="Q60" s="22">
        <v>981.53</v>
      </c>
      <c r="R60" s="22">
        <v>1055.46</v>
      </c>
    </row>
    <row r="61" spans="1:18" x14ac:dyDescent="0.25">
      <c r="A61" s="19" t="s">
        <v>58</v>
      </c>
      <c r="B61" s="26">
        <v>361</v>
      </c>
      <c r="C61" s="26">
        <v>11</v>
      </c>
      <c r="D61" s="26">
        <v>2776</v>
      </c>
      <c r="E61" s="26">
        <f t="shared" si="0"/>
        <v>3148</v>
      </c>
      <c r="G61" s="7">
        <v>82.86</v>
      </c>
      <c r="H61" s="7">
        <v>59.8</v>
      </c>
      <c r="I61" s="7">
        <v>89.03</v>
      </c>
      <c r="J61" s="7">
        <v>88.23</v>
      </c>
      <c r="L61" s="7">
        <v>76.98478999999999</v>
      </c>
      <c r="M61" s="7">
        <v>88.569210000000012</v>
      </c>
      <c r="N61" s="7">
        <v>87.267200000000003</v>
      </c>
      <c r="P61" s="22">
        <v>1045.17</v>
      </c>
      <c r="Q61" s="22">
        <v>1030.47</v>
      </c>
      <c r="R61" s="22">
        <v>1032.1300000000001</v>
      </c>
    </row>
    <row r="62" spans="1:18" x14ac:dyDescent="0.25">
      <c r="A62" s="19"/>
      <c r="B62" s="26"/>
      <c r="C62" s="26"/>
      <c r="D62" s="26"/>
      <c r="E62" s="26"/>
      <c r="G62" s="7"/>
      <c r="H62" s="7"/>
      <c r="I62" s="7"/>
      <c r="J62" s="7"/>
      <c r="L62" s="7"/>
      <c r="M62" s="7"/>
      <c r="N62" s="7"/>
      <c r="P62" s="22"/>
      <c r="Q62" s="22"/>
      <c r="R62" s="22"/>
    </row>
    <row r="63" spans="1:18" x14ac:dyDescent="0.25">
      <c r="A63" s="20" t="s">
        <v>59</v>
      </c>
      <c r="B63" s="26"/>
      <c r="C63" s="26"/>
      <c r="D63" s="26"/>
      <c r="E63" s="26"/>
      <c r="G63" s="7"/>
      <c r="H63" s="7"/>
      <c r="I63" s="7"/>
      <c r="J63" s="7"/>
      <c r="L63" s="7"/>
      <c r="M63" s="7"/>
      <c r="N63" s="7"/>
      <c r="P63" s="22"/>
      <c r="Q63" s="22"/>
      <c r="R63" s="22"/>
    </row>
    <row r="64" spans="1:18" x14ac:dyDescent="0.25">
      <c r="A64" s="19" t="s">
        <v>60</v>
      </c>
      <c r="B64" s="26">
        <v>9412</v>
      </c>
      <c r="C64" s="26">
        <v>540</v>
      </c>
      <c r="D64" s="26">
        <v>47329</v>
      </c>
      <c r="E64" s="26">
        <f t="shared" si="0"/>
        <v>57281</v>
      </c>
      <c r="G64" s="7">
        <v>96.12</v>
      </c>
      <c r="H64" s="7">
        <v>74.510000000000005</v>
      </c>
      <c r="I64" s="7">
        <v>89</v>
      </c>
      <c r="J64" s="7">
        <v>90.02</v>
      </c>
      <c r="L64" s="7">
        <v>281.40843000000001</v>
      </c>
      <c r="M64" s="7">
        <v>242.41637</v>
      </c>
      <c r="N64" s="7">
        <v>249.36138</v>
      </c>
      <c r="P64" s="22">
        <v>3069.44</v>
      </c>
      <c r="Q64" s="22">
        <v>2785.57</v>
      </c>
      <c r="R64" s="22">
        <v>2836.13</v>
      </c>
    </row>
    <row r="65" spans="1:18" x14ac:dyDescent="0.25">
      <c r="A65" s="19" t="s">
        <v>61</v>
      </c>
      <c r="B65" s="26">
        <v>2150</v>
      </c>
      <c r="C65" s="26">
        <v>83</v>
      </c>
      <c r="D65" s="26">
        <v>10969</v>
      </c>
      <c r="E65" s="26">
        <f t="shared" si="0"/>
        <v>13202</v>
      </c>
      <c r="G65" s="7">
        <v>109.13</v>
      </c>
      <c r="H65" s="7">
        <v>92.13</v>
      </c>
      <c r="I65" s="7">
        <v>99.24</v>
      </c>
      <c r="J65" s="7">
        <v>100.76</v>
      </c>
      <c r="L65" s="7">
        <v>236.90484000000001</v>
      </c>
      <c r="M65" s="7">
        <v>209.28384</v>
      </c>
      <c r="N65" s="7">
        <v>213.79710999999998</v>
      </c>
      <c r="P65" s="22">
        <v>2268.52</v>
      </c>
      <c r="Q65" s="22">
        <v>2241.06</v>
      </c>
      <c r="R65" s="22">
        <v>2245.54</v>
      </c>
    </row>
    <row r="66" spans="1:18" x14ac:dyDescent="0.25">
      <c r="A66" s="19" t="s">
        <v>62</v>
      </c>
      <c r="B66" s="26">
        <v>1073</v>
      </c>
      <c r="C66" s="26">
        <v>99</v>
      </c>
      <c r="D66" s="26">
        <v>3839</v>
      </c>
      <c r="E66" s="26">
        <f t="shared" si="0"/>
        <v>5011</v>
      </c>
      <c r="G66" s="7">
        <v>111.72</v>
      </c>
      <c r="H66" s="7">
        <v>88.74</v>
      </c>
      <c r="I66" s="7">
        <v>101.83</v>
      </c>
      <c r="J66" s="7">
        <v>103.82</v>
      </c>
      <c r="L66" s="7">
        <v>181.59806</v>
      </c>
      <c r="M66" s="7">
        <v>125.42899</v>
      </c>
      <c r="N66" s="7">
        <v>138.9265</v>
      </c>
      <c r="P66" s="22">
        <v>1445.83</v>
      </c>
      <c r="Q66" s="22">
        <v>1323.05</v>
      </c>
      <c r="R66" s="22">
        <v>1352.55</v>
      </c>
    </row>
    <row r="67" spans="1:18" x14ac:dyDescent="0.25">
      <c r="A67" s="19" t="s">
        <v>63</v>
      </c>
      <c r="B67" s="26">
        <v>1911</v>
      </c>
      <c r="C67" s="26">
        <v>109</v>
      </c>
      <c r="D67" s="26">
        <v>12322</v>
      </c>
      <c r="E67" s="26">
        <f t="shared" si="0"/>
        <v>14342</v>
      </c>
      <c r="G67" s="7">
        <v>99.33</v>
      </c>
      <c r="H67" s="7">
        <v>67.069999999999993</v>
      </c>
      <c r="I67" s="7">
        <v>89.9</v>
      </c>
      <c r="J67" s="7">
        <v>90.94</v>
      </c>
      <c r="L67" s="7">
        <v>167.46785999999997</v>
      </c>
      <c r="M67" s="7">
        <v>130.77522999999999</v>
      </c>
      <c r="N67" s="7">
        <v>135.74259000000001</v>
      </c>
      <c r="P67" s="22">
        <v>1804.51</v>
      </c>
      <c r="Q67" s="22">
        <v>1573.57</v>
      </c>
      <c r="R67" s="22">
        <v>1604.83</v>
      </c>
    </row>
    <row r="68" spans="1:18" x14ac:dyDescent="0.25">
      <c r="A68" s="19"/>
      <c r="B68" s="26"/>
      <c r="C68" s="26"/>
      <c r="D68" s="26"/>
      <c r="E68" s="26"/>
      <c r="G68" s="7"/>
      <c r="H68" s="7"/>
      <c r="I68" s="7"/>
      <c r="J68" s="7"/>
      <c r="L68" s="7"/>
      <c r="M68" s="7"/>
      <c r="N68" s="7"/>
      <c r="P68" s="22"/>
      <c r="Q68" s="22"/>
      <c r="R68" s="22"/>
    </row>
    <row r="69" spans="1:18" x14ac:dyDescent="0.25">
      <c r="A69" s="21" t="s">
        <v>64</v>
      </c>
      <c r="B69" s="27">
        <f>SUM(B64:B67)</f>
        <v>14546</v>
      </c>
      <c r="C69" s="27">
        <f>SUM(C64:C67)</f>
        <v>831</v>
      </c>
      <c r="D69" s="27">
        <f>SUM(D64:D67)</f>
        <v>74459</v>
      </c>
      <c r="E69" s="27">
        <f>SUM(E64:E67)</f>
        <v>89836</v>
      </c>
      <c r="F69" s="9"/>
      <c r="G69" s="10">
        <v>99.5</v>
      </c>
      <c r="H69" s="10">
        <v>76.349999999999994</v>
      </c>
      <c r="I69" s="10">
        <v>91.25</v>
      </c>
      <c r="J69" s="10">
        <v>92.43</v>
      </c>
      <c r="K69" s="9"/>
      <c r="L69" s="10">
        <v>253.35493</v>
      </c>
      <c r="M69" s="10">
        <v>212.8871</v>
      </c>
      <c r="N69" s="10">
        <v>219.84270000000001</v>
      </c>
      <c r="O69" s="9"/>
      <c r="P69" s="28">
        <v>2678.04</v>
      </c>
      <c r="Q69" s="28">
        <v>2427.7399999999998</v>
      </c>
      <c r="R69" s="28">
        <v>2470.7600000000002</v>
      </c>
    </row>
    <row r="71" spans="1:18" x14ac:dyDescent="0.25">
      <c r="A71" s="11" t="s">
        <v>71</v>
      </c>
    </row>
    <row r="72" spans="1:18" x14ac:dyDescent="0.25">
      <c r="A72" s="12" t="s">
        <v>70</v>
      </c>
    </row>
    <row r="73" spans="1:18" x14ac:dyDescent="0.25">
      <c r="A73" s="12" t="s">
        <v>69</v>
      </c>
    </row>
  </sheetData>
  <phoneticPr fontId="1" type="noConversion"/>
  <pageMargins left="0.74803149606299213" right="0.74803149606299213" top="0.39370078740157483" bottom="0" header="0" footer="0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4t24acum_1any</vt:lpstr>
      <vt:lpstr>3t24acum_1any</vt:lpstr>
      <vt:lpstr>2t24acum_1any</vt:lpstr>
      <vt:lpstr>1t24acum_1any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Cortes Alvarez, Sergio</cp:lastModifiedBy>
  <cp:lastPrinted>2022-11-11T13:49:53Z</cp:lastPrinted>
  <dcterms:created xsi:type="dcterms:W3CDTF">2015-06-12T12:22:07Z</dcterms:created>
  <dcterms:modified xsi:type="dcterms:W3CDTF">2025-02-17T11:27:04Z</dcterms:modified>
</cp:coreProperties>
</file>